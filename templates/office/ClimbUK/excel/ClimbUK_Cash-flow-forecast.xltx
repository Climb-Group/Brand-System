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Cash flow" sheetId="1" state="visible" r:id="rId1"/>
    <sheet xmlns:r="http://schemas.openxmlformats.org/officeDocument/2006/relationships" name="Summary" sheetId="2" state="visible" r:id="rId2"/>
  </sheets>
  <definedNames>
    <definedName name="_xlnm.Print_Titles" localSheetId="0">'Cash flow'!$9:$9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mmm yyyy"/>
    <numFmt numFmtId="166" formatCode="&quot;£&quot;#,##0;-&quot;£&quot;#,##0"/>
  </numFmts>
  <fonts count="8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9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3">
    <border>
      <left/>
      <right/>
      <top/>
      <bottom/>
      <diagonal/>
    </border>
    <border>
      <top style="medium">
        <color rgb="00E8712A"/>
      </top>
    </border>
    <border>
      <top style="medium">
        <color rgb="00E8712A"/>
      </top>
      <bottom style="medium">
        <color rgb="00E8712A"/>
      </bottom>
    </border>
  </borders>
  <cellStyleXfs count="1">
    <xf numFmtId="0" fontId="1" fillId="0" borderId="0"/>
  </cellStyleXfs>
  <cellXfs count="17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top"/>
    </xf>
    <xf numFmtId="165" fontId="1" fillId="2" borderId="0" applyAlignment="1" pivotButton="0" quotePrefix="0" xfId="0">
      <alignment vertical="top" wrapText="1"/>
    </xf>
    <xf numFmtId="0" fontId="6" fillId="3" borderId="0" applyAlignment="1" pivotButton="0" quotePrefix="0" xfId="0">
      <alignment vertical="center" wrapText="1"/>
    </xf>
    <xf numFmtId="165" fontId="6" fillId="3" borderId="0" applyAlignment="1" pivotButton="0" quotePrefix="0" xfId="0">
      <alignment horizontal="center" vertical="center"/>
    </xf>
    <xf numFmtId="0" fontId="5" fillId="0" borderId="0" pivotButton="0" quotePrefix="0" xfId="0"/>
    <xf numFmtId="0" fontId="1" fillId="2" borderId="0" applyAlignment="1" pivotButton="0" quotePrefix="0" xfId="0">
      <alignment vertical="top" wrapText="1"/>
    </xf>
    <xf numFmtId="166" fontId="1" fillId="2" borderId="0" applyAlignment="1" pivotButton="0" quotePrefix="0" xfId="0">
      <alignment vertical="top" wrapText="1"/>
    </xf>
    <xf numFmtId="166" fontId="1" fillId="0" borderId="0" applyAlignment="1" pivotButton="0" quotePrefix="0" xfId="0">
      <alignment vertical="top" wrapText="1"/>
    </xf>
    <xf numFmtId="0" fontId="7" fillId="0" borderId="1" pivotButton="0" quotePrefix="0" xfId="0"/>
    <xf numFmtId="166" fontId="7" fillId="0" borderId="1" applyAlignment="1" pivotButton="0" quotePrefix="0" xfId="0">
      <alignment vertical="top" wrapText="1"/>
    </xf>
    <xf numFmtId="0" fontId="5" fillId="0" borderId="2" pivotButton="0" quotePrefix="0" xfId="0"/>
    <xf numFmtId="166" fontId="7" fillId="0" borderId="2" applyAlignment="1" pivotButton="0" quotePrefix="0" xfId="0">
      <alignment vertical="top" wrapText="1"/>
    </xf>
    <xf numFmtId="165" fontId="1" fillId="0" borderId="0" applyAlignment="1" pivotButton="0" quotePrefix="0" xfId="0">
      <alignment vertical="top" wrapText="1"/>
    </xf>
  </cellXfs>
  <cellStyles count="1">
    <cellStyle name="Normal" xfId="0" builtinId="0" hidden="0"/>
  </cellStyles>
  <dxfs count="1">
    <dxf>
      <font>
        <b val="1"/>
        <color rgb="008D4419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Closing balance</a:t>
            </a:r>
          </a:p>
        </rich>
      </tx>
    </title>
    <plotArea>
      <lineChart>
        <grouping val="standard"/>
        <ser>
          <idx val="0"/>
          <order val="0"/>
          <tx>
            <strRef>
              <f>'Summary'!B7</f>
            </strRef>
          </tx>
          <spPr>
            <a:ln xmlns:a="http://schemas.openxmlformats.org/drawingml/2006/main" w="28000">
              <a:solidFill>
                <a:srgbClr val="E8712A"/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'Summary'!$A$8:$A$19</f>
            </numRef>
          </cat>
          <val>
            <numRef>
              <f>'Summary'!$B$8:$B$19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£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2.png" Id="rId2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2134850" cy="12096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3</col>
      <colOff>0</colOff>
      <row>6</row>
      <rowOff>0</rowOff>
    </from>
    <ext cx="648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7543800" cy="752475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ClimbUK">
  <a:themeElements>
    <a:clrScheme name="ClimbUK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UK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N29"/>
  <sheetViews>
    <sheetView showGridLines="0" workbookViewId="0">
      <pane xSplit="1" ySplit="9" topLeftCell="B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0" customWidth="1" min="1" max="1"/>
    <col width="11" customWidth="1" min="2" max="2"/>
    <col width="11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  <col width="11" customWidth="1" min="11" max="11"/>
    <col width="11" customWidth="1" min="12" max="12"/>
    <col width="11" customWidth="1" min="13" max="13"/>
    <col width="11" customWidth="1" min="14" max="14"/>
    <col width="4" customWidth="1" min="15" max="15"/>
  </cols>
  <sheetData>
    <row r="1" ht="95.25" customHeight="1"/>
    <row r="3">
      <c r="A3" s="1" t="inlineStr">
        <is>
          <t>CASH FLOW</t>
        </is>
      </c>
    </row>
    <row r="4" ht="30" customHeight="1">
      <c r="A4" s="2" t="inlineStr">
        <is>
          <t>CASH FLOW FORECAST</t>
        </is>
      </c>
    </row>
    <row r="5">
      <c r="A5" s="3" t="inlineStr">
        <is>
          <t>Cash in and out by month. The closing balance carries into the next month.</t>
        </is>
      </c>
    </row>
    <row r="7">
      <c r="A7" s="4" t="inlineStr">
        <is>
          <t>First month</t>
        </is>
      </c>
      <c r="B7" s="5" t="n">
        <v>46388</v>
      </c>
    </row>
    <row r="9" ht="24" customHeight="1">
      <c r="A9" s="6" t="inlineStr"/>
      <c r="B9" s="7">
        <f>B7</f>
        <v/>
      </c>
      <c r="C9" s="7">
        <f>EDATE(B9,1)</f>
        <v/>
      </c>
      <c r="D9" s="7">
        <f>EDATE(C9,1)</f>
        <v/>
      </c>
      <c r="E9" s="7">
        <f>EDATE(D9,1)</f>
        <v/>
      </c>
      <c r="F9" s="7">
        <f>EDATE(E9,1)</f>
        <v/>
      </c>
      <c r="G9" s="7">
        <f>EDATE(F9,1)</f>
        <v/>
      </c>
      <c r="H9" s="7">
        <f>EDATE(G9,1)</f>
        <v/>
      </c>
      <c r="I9" s="7">
        <f>EDATE(H9,1)</f>
        <v/>
      </c>
      <c r="J9" s="7">
        <f>EDATE(I9,1)</f>
        <v/>
      </c>
      <c r="K9" s="7">
        <f>EDATE(J9,1)</f>
        <v/>
      </c>
      <c r="L9" s="7">
        <f>EDATE(K9,1)</f>
        <v/>
      </c>
      <c r="M9" s="7">
        <f>EDATE(L9,1)</f>
        <v/>
      </c>
      <c r="N9" s="6" t="inlineStr">
        <is>
          <t>Total</t>
        </is>
      </c>
    </row>
    <row r="10">
      <c r="A10" s="8" t="inlineStr">
        <is>
          <t>Cash in</t>
        </is>
      </c>
    </row>
    <row r="11">
      <c r="A11" s="9" t="inlineStr">
        <is>
          <t>Ticket sales</t>
        </is>
      </c>
      <c r="B11" s="10" t="n">
        <v>0</v>
      </c>
      <c r="C11" s="10" t="n">
        <v>0</v>
      </c>
      <c r="D11" s="10" t="n">
        <v>0</v>
      </c>
      <c r="E11" s="10" t="n">
        <v>0</v>
      </c>
      <c r="F11" s="10" t="n">
        <v>0</v>
      </c>
      <c r="G11" s="10" t="n">
        <v>0</v>
      </c>
      <c r="H11" s="10" t="n">
        <v>0</v>
      </c>
      <c r="I11" s="10" t="n">
        <v>0</v>
      </c>
      <c r="J11" s="10" t="n">
        <v>0</v>
      </c>
      <c r="K11" s="10" t="n">
        <v>0</v>
      </c>
      <c r="L11" s="10" t="n">
        <v>0</v>
      </c>
      <c r="M11" s="10" t="n">
        <v>0</v>
      </c>
      <c r="N11" s="11">
        <f>SUM(B11:M11)</f>
        <v/>
      </c>
    </row>
    <row r="12">
      <c r="A12" s="9" t="inlineStr">
        <is>
          <t>Partner payments</t>
        </is>
      </c>
      <c r="B12" s="10" t="n">
        <v>0</v>
      </c>
      <c r="C12" s="10" t="n">
        <v>0</v>
      </c>
      <c r="D12" s="10" t="n">
        <v>0</v>
      </c>
      <c r="E12" s="10" t="n">
        <v>0</v>
      </c>
      <c r="F12" s="10" t="n">
        <v>0</v>
      </c>
      <c r="G12" s="10" t="n">
        <v>0</v>
      </c>
      <c r="H12" s="10" t="n">
        <v>0</v>
      </c>
      <c r="I12" s="10" t="n">
        <v>0</v>
      </c>
      <c r="J12" s="10" t="n">
        <v>0</v>
      </c>
      <c r="K12" s="10" t="n">
        <v>0</v>
      </c>
      <c r="L12" s="10" t="n">
        <v>0</v>
      </c>
      <c r="M12" s="10" t="n">
        <v>0</v>
      </c>
      <c r="N12" s="11">
        <f>SUM(B12:M12)</f>
        <v/>
      </c>
    </row>
    <row r="13">
      <c r="A13" s="9" t="inlineStr">
        <is>
          <t>Exhibitor payments</t>
        </is>
      </c>
      <c r="B13" s="10" t="n">
        <v>0</v>
      </c>
      <c r="C13" s="10" t="n">
        <v>0</v>
      </c>
      <c r="D13" s="10" t="n">
        <v>0</v>
      </c>
      <c r="E13" s="10" t="n">
        <v>0</v>
      </c>
      <c r="F13" s="10" t="n">
        <v>0</v>
      </c>
      <c r="G13" s="10" t="n">
        <v>0</v>
      </c>
      <c r="H13" s="10" t="n">
        <v>0</v>
      </c>
      <c r="I13" s="10" t="n">
        <v>0</v>
      </c>
      <c r="J13" s="10" t="n">
        <v>0</v>
      </c>
      <c r="K13" s="10" t="n">
        <v>0</v>
      </c>
      <c r="L13" s="10" t="n">
        <v>0</v>
      </c>
      <c r="M13" s="10" t="n">
        <v>0</v>
      </c>
      <c r="N13" s="11">
        <f>SUM(B13:M13)</f>
        <v/>
      </c>
    </row>
    <row r="14">
      <c r="A14" s="9" t="inlineStr">
        <is>
          <t>Other receipts</t>
        </is>
      </c>
      <c r="B14" s="10" t="n">
        <v>0</v>
      </c>
      <c r="C14" s="10" t="n">
        <v>0</v>
      </c>
      <c r="D14" s="10" t="n">
        <v>0</v>
      </c>
      <c r="E14" s="10" t="n">
        <v>0</v>
      </c>
      <c r="F14" s="10" t="n">
        <v>0</v>
      </c>
      <c r="G14" s="10" t="n">
        <v>0</v>
      </c>
      <c r="H14" s="10" t="n">
        <v>0</v>
      </c>
      <c r="I14" s="10" t="n">
        <v>0</v>
      </c>
      <c r="J14" s="10" t="n">
        <v>0</v>
      </c>
      <c r="K14" s="10" t="n">
        <v>0</v>
      </c>
      <c r="L14" s="10" t="n">
        <v>0</v>
      </c>
      <c r="M14" s="10" t="n">
        <v>0</v>
      </c>
      <c r="N14" s="11">
        <f>SUM(B14:M14)</f>
        <v/>
      </c>
    </row>
    <row r="15">
      <c r="A15" s="12" t="inlineStr">
        <is>
          <t>Total cash in</t>
        </is>
      </c>
      <c r="B15" s="13">
        <f>SUM(B11:B14)</f>
        <v/>
      </c>
      <c r="C15" s="13">
        <f>SUM(C11:C14)</f>
        <v/>
      </c>
      <c r="D15" s="13">
        <f>SUM(D11:D14)</f>
        <v/>
      </c>
      <c r="E15" s="13">
        <f>SUM(E11:E14)</f>
        <v/>
      </c>
      <c r="F15" s="13">
        <f>SUM(F11:F14)</f>
        <v/>
      </c>
      <c r="G15" s="13">
        <f>SUM(G11:G14)</f>
        <v/>
      </c>
      <c r="H15" s="13">
        <f>SUM(H11:H14)</f>
        <v/>
      </c>
      <c r="I15" s="13">
        <f>SUM(I11:I14)</f>
        <v/>
      </c>
      <c r="J15" s="13">
        <f>SUM(J11:J14)</f>
        <v/>
      </c>
      <c r="K15" s="13">
        <f>SUM(K11:K14)</f>
        <v/>
      </c>
      <c r="L15" s="13">
        <f>SUM(L11:L14)</f>
        <v/>
      </c>
      <c r="M15" s="13">
        <f>SUM(M11:M14)</f>
        <v/>
      </c>
      <c r="N15" s="13">
        <f>SUM(N11:N14)</f>
        <v/>
      </c>
    </row>
    <row r="17">
      <c r="A17" s="8" t="inlineStr">
        <is>
          <t>Cash out</t>
        </is>
      </c>
    </row>
    <row r="18">
      <c r="A18" s="9" t="inlineStr">
        <is>
          <t>Suppliers</t>
        </is>
      </c>
      <c r="B18" s="10" t="n">
        <v>0</v>
      </c>
      <c r="C18" s="10" t="n">
        <v>0</v>
      </c>
      <c r="D18" s="10" t="n">
        <v>0</v>
      </c>
      <c r="E18" s="10" t="n">
        <v>0</v>
      </c>
      <c r="F18" s="10" t="n">
        <v>0</v>
      </c>
      <c r="G18" s="10" t="n">
        <v>0</v>
      </c>
      <c r="H18" s="10" t="n">
        <v>0</v>
      </c>
      <c r="I18" s="10" t="n">
        <v>0</v>
      </c>
      <c r="J18" s="10" t="n">
        <v>0</v>
      </c>
      <c r="K18" s="10" t="n">
        <v>0</v>
      </c>
      <c r="L18" s="10" t="n">
        <v>0</v>
      </c>
      <c r="M18" s="10" t="n">
        <v>0</v>
      </c>
      <c r="N18" s="11">
        <f>SUM(B18:M18)</f>
        <v/>
      </c>
    </row>
    <row r="19">
      <c r="A19" s="9" t="inlineStr">
        <is>
          <t>Payroll</t>
        </is>
      </c>
      <c r="B19" s="10" t="n">
        <v>0</v>
      </c>
      <c r="C19" s="10" t="n">
        <v>0</v>
      </c>
      <c r="D19" s="10" t="n">
        <v>0</v>
      </c>
      <c r="E19" s="10" t="n">
        <v>0</v>
      </c>
      <c r="F19" s="10" t="n">
        <v>0</v>
      </c>
      <c r="G19" s="10" t="n">
        <v>0</v>
      </c>
      <c r="H19" s="10" t="n">
        <v>0</v>
      </c>
      <c r="I19" s="10" t="n">
        <v>0</v>
      </c>
      <c r="J19" s="10" t="n">
        <v>0</v>
      </c>
      <c r="K19" s="10" t="n">
        <v>0</v>
      </c>
      <c r="L19" s="10" t="n">
        <v>0</v>
      </c>
      <c r="M19" s="10" t="n">
        <v>0</v>
      </c>
      <c r="N19" s="11">
        <f>SUM(B19:M19)</f>
        <v/>
      </c>
    </row>
    <row r="20">
      <c r="A20" s="9" t="inlineStr">
        <is>
          <t>Rent and systems</t>
        </is>
      </c>
      <c r="B20" s="10" t="n">
        <v>0</v>
      </c>
      <c r="C20" s="10" t="n">
        <v>0</v>
      </c>
      <c r="D20" s="10" t="n">
        <v>0</v>
      </c>
      <c r="E20" s="10" t="n">
        <v>0</v>
      </c>
      <c r="F20" s="10" t="n">
        <v>0</v>
      </c>
      <c r="G20" s="10" t="n">
        <v>0</v>
      </c>
      <c r="H20" s="10" t="n">
        <v>0</v>
      </c>
      <c r="I20" s="10" t="n">
        <v>0</v>
      </c>
      <c r="J20" s="10" t="n">
        <v>0</v>
      </c>
      <c r="K20" s="10" t="n">
        <v>0</v>
      </c>
      <c r="L20" s="10" t="n">
        <v>0</v>
      </c>
      <c r="M20" s="10" t="n">
        <v>0</v>
      </c>
      <c r="N20" s="11">
        <f>SUM(B20:M20)</f>
        <v/>
      </c>
    </row>
    <row r="21">
      <c r="A21" s="9" t="inlineStr">
        <is>
          <t>Marketing</t>
        </is>
      </c>
      <c r="B21" s="10" t="n">
        <v>0</v>
      </c>
      <c r="C21" s="10" t="n">
        <v>0</v>
      </c>
      <c r="D21" s="10" t="n">
        <v>0</v>
      </c>
      <c r="E21" s="10" t="n">
        <v>0</v>
      </c>
      <c r="F21" s="10" t="n">
        <v>0</v>
      </c>
      <c r="G21" s="10" t="n">
        <v>0</v>
      </c>
      <c r="H21" s="10" t="n">
        <v>0</v>
      </c>
      <c r="I21" s="10" t="n">
        <v>0</v>
      </c>
      <c r="J21" s="10" t="n">
        <v>0</v>
      </c>
      <c r="K21" s="10" t="n">
        <v>0</v>
      </c>
      <c r="L21" s="10" t="n">
        <v>0</v>
      </c>
      <c r="M21" s="10" t="n">
        <v>0</v>
      </c>
      <c r="N21" s="11">
        <f>SUM(B21:M21)</f>
        <v/>
      </c>
    </row>
    <row r="22">
      <c r="A22" s="9" t="inlineStr">
        <is>
          <t>Tax and VAT</t>
        </is>
      </c>
      <c r="B22" s="10" t="n">
        <v>0</v>
      </c>
      <c r="C22" s="10" t="n">
        <v>0</v>
      </c>
      <c r="D22" s="10" t="n">
        <v>0</v>
      </c>
      <c r="E22" s="10" t="n">
        <v>0</v>
      </c>
      <c r="F22" s="10" t="n">
        <v>0</v>
      </c>
      <c r="G22" s="10" t="n">
        <v>0</v>
      </c>
      <c r="H22" s="10" t="n">
        <v>0</v>
      </c>
      <c r="I22" s="10" t="n">
        <v>0</v>
      </c>
      <c r="J22" s="10" t="n">
        <v>0</v>
      </c>
      <c r="K22" s="10" t="n">
        <v>0</v>
      </c>
      <c r="L22" s="10" t="n">
        <v>0</v>
      </c>
      <c r="M22" s="10" t="n">
        <v>0</v>
      </c>
      <c r="N22" s="11">
        <f>SUM(B22:M22)</f>
        <v/>
      </c>
    </row>
    <row r="23">
      <c r="A23" s="9" t="inlineStr">
        <is>
          <t>Other payments</t>
        </is>
      </c>
      <c r="B23" s="10" t="n">
        <v>0</v>
      </c>
      <c r="C23" s="10" t="n">
        <v>0</v>
      </c>
      <c r="D23" s="10" t="n">
        <v>0</v>
      </c>
      <c r="E23" s="10" t="n">
        <v>0</v>
      </c>
      <c r="F23" s="10" t="n">
        <v>0</v>
      </c>
      <c r="G23" s="10" t="n">
        <v>0</v>
      </c>
      <c r="H23" s="10" t="n">
        <v>0</v>
      </c>
      <c r="I23" s="10" t="n">
        <v>0</v>
      </c>
      <c r="J23" s="10" t="n">
        <v>0</v>
      </c>
      <c r="K23" s="10" t="n">
        <v>0</v>
      </c>
      <c r="L23" s="10" t="n">
        <v>0</v>
      </c>
      <c r="M23" s="10" t="n">
        <v>0</v>
      </c>
      <c r="N23" s="11">
        <f>SUM(B23:M23)</f>
        <v/>
      </c>
    </row>
    <row r="24">
      <c r="A24" s="12" t="inlineStr">
        <is>
          <t>Total cash out</t>
        </is>
      </c>
      <c r="B24" s="13">
        <f>SUM(B18:B23)</f>
        <v/>
      </c>
      <c r="C24" s="13">
        <f>SUM(C18:C23)</f>
        <v/>
      </c>
      <c r="D24" s="13">
        <f>SUM(D18:D23)</f>
        <v/>
      </c>
      <c r="E24" s="13">
        <f>SUM(E18:E23)</f>
        <v/>
      </c>
      <c r="F24" s="13">
        <f>SUM(F18:F23)</f>
        <v/>
      </c>
      <c r="G24" s="13">
        <f>SUM(G18:G23)</f>
        <v/>
      </c>
      <c r="H24" s="13">
        <f>SUM(H18:H23)</f>
        <v/>
      </c>
      <c r="I24" s="13">
        <f>SUM(I18:I23)</f>
        <v/>
      </c>
      <c r="J24" s="13">
        <f>SUM(J18:J23)</f>
        <v/>
      </c>
      <c r="K24" s="13">
        <f>SUM(K18:K23)</f>
        <v/>
      </c>
      <c r="L24" s="13">
        <f>SUM(L18:L23)</f>
        <v/>
      </c>
      <c r="M24" s="13">
        <f>SUM(M18:M23)</f>
        <v/>
      </c>
      <c r="N24" s="13">
        <f>SUM(N18:N23)</f>
        <v/>
      </c>
    </row>
    <row r="26">
      <c r="A26" s="14" t="inlineStr">
        <is>
          <t>Net cash flow</t>
        </is>
      </c>
      <c r="B26" s="15">
        <f>B15-B24</f>
        <v/>
      </c>
      <c r="C26" s="15">
        <f>C15-C24</f>
        <v/>
      </c>
      <c r="D26" s="15">
        <f>D15-D24</f>
        <v/>
      </c>
      <c r="E26" s="15">
        <f>E15-E24</f>
        <v/>
      </c>
      <c r="F26" s="15">
        <f>F15-F24</f>
        <v/>
      </c>
      <c r="G26" s="15">
        <f>G15-G24</f>
        <v/>
      </c>
      <c r="H26" s="15">
        <f>H15-H24</f>
        <v/>
      </c>
      <c r="I26" s="15">
        <f>I15-I24</f>
        <v/>
      </c>
      <c r="J26" s="15">
        <f>J15-J24</f>
        <v/>
      </c>
      <c r="K26" s="15">
        <f>K15-K24</f>
        <v/>
      </c>
      <c r="L26" s="15">
        <f>L15-L24</f>
        <v/>
      </c>
      <c r="M26" s="15">
        <f>M15-M24</f>
        <v/>
      </c>
      <c r="N26" s="15">
        <f>N15-N24</f>
        <v/>
      </c>
    </row>
    <row r="28">
      <c r="A28" s="4" t="inlineStr">
        <is>
          <t>Opening balance</t>
        </is>
      </c>
      <c r="B28" s="10" t="n">
        <v>0</v>
      </c>
      <c r="C28" s="11">
        <f>B29</f>
        <v/>
      </c>
      <c r="D28" s="11">
        <f>C29</f>
        <v/>
      </c>
      <c r="E28" s="11">
        <f>D29</f>
        <v/>
      </c>
      <c r="F28" s="11">
        <f>E29</f>
        <v/>
      </c>
      <c r="G28" s="11">
        <f>F29</f>
        <v/>
      </c>
      <c r="H28" s="11">
        <f>G29</f>
        <v/>
      </c>
      <c r="I28" s="11">
        <f>H29</f>
        <v/>
      </c>
      <c r="J28" s="11">
        <f>I29</f>
        <v/>
      </c>
      <c r="K28" s="11">
        <f>J29</f>
        <v/>
      </c>
      <c r="L28" s="11">
        <f>K29</f>
        <v/>
      </c>
      <c r="M28" s="11">
        <f>L29</f>
        <v/>
      </c>
    </row>
    <row r="29">
      <c r="A29" s="14" t="inlineStr">
        <is>
          <t>Closing balance</t>
        </is>
      </c>
      <c r="B29" s="15">
        <f>B28+B26</f>
        <v/>
      </c>
      <c r="C29" s="15">
        <f>C28+C26</f>
        <v/>
      </c>
      <c r="D29" s="15">
        <f>D28+D26</f>
        <v/>
      </c>
      <c r="E29" s="15">
        <f>E28+E26</f>
        <v/>
      </c>
      <c r="F29" s="15">
        <f>F28+F26</f>
        <v/>
      </c>
      <c r="G29" s="15">
        <f>G28+G26</f>
        <v/>
      </c>
      <c r="H29" s="15">
        <f>H28+H26</f>
        <v/>
      </c>
      <c r="I29" s="15">
        <f>I28+I26</f>
        <v/>
      </c>
      <c r="J29" s="15">
        <f>J28+J26</f>
        <v/>
      </c>
      <c r="K29" s="15">
        <f>K28+K26</f>
        <v/>
      </c>
      <c r="L29" s="15">
        <f>L28+L26</f>
        <v/>
      </c>
      <c r="M29" s="15">
        <f>M28+M26</f>
        <v/>
      </c>
    </row>
  </sheetData>
  <conditionalFormatting sqref="B29:M29">
    <cfRule type="cellIs" priority="1" operator="lessThan" dxfId="0">
      <formula>0</formula>
    </cfRule>
  </conditionalFormatting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B19"/>
  <sheetViews>
    <sheetView showGridLines="0" workbookViewId="0">
      <selection activeCell="A1" sqref="A1"/>
    </sheetView>
  </sheetViews>
  <sheetFormatPr baseColWidth="8" defaultRowHeight="15"/>
  <cols>
    <col width="16" customWidth="1" min="1" max="1"/>
    <col width="16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</cols>
  <sheetData>
    <row r="1" ht="59.25" customHeight="1"/>
    <row r="3">
      <c r="A3" s="1" t="inlineStr">
        <is>
          <t>SUMMARY</t>
        </is>
      </c>
    </row>
    <row r="4" ht="30" customHeight="1">
      <c r="A4" s="2" t="inlineStr">
        <is>
          <t>CLOSING BALANCE BY MONTH</t>
        </is>
      </c>
    </row>
    <row r="5">
      <c r="A5" s="3" t="inlineStr"/>
    </row>
    <row r="7" ht="26" customHeight="1">
      <c r="A7" s="6" t="inlineStr">
        <is>
          <t>Month</t>
        </is>
      </c>
      <c r="B7" s="6" t="inlineStr">
        <is>
          <t>Closing balance</t>
        </is>
      </c>
    </row>
    <row r="8">
      <c r="A8" s="16">
        <f>'Cash flow'!B9</f>
        <v/>
      </c>
      <c r="B8" s="11">
        <f>'Cash flow'!B29</f>
        <v/>
      </c>
    </row>
    <row r="9">
      <c r="A9" s="16">
        <f>'Cash flow'!C9</f>
        <v/>
      </c>
      <c r="B9" s="11">
        <f>'Cash flow'!C29</f>
        <v/>
      </c>
    </row>
    <row r="10">
      <c r="A10" s="16">
        <f>'Cash flow'!D9</f>
        <v/>
      </c>
      <c r="B10" s="11">
        <f>'Cash flow'!D29</f>
        <v/>
      </c>
    </row>
    <row r="11">
      <c r="A11" s="16">
        <f>'Cash flow'!E9</f>
        <v/>
      </c>
      <c r="B11" s="11">
        <f>'Cash flow'!E29</f>
        <v/>
      </c>
    </row>
    <row r="12">
      <c r="A12" s="16">
        <f>'Cash flow'!F9</f>
        <v/>
      </c>
      <c r="B12" s="11">
        <f>'Cash flow'!F29</f>
        <v/>
      </c>
    </row>
    <row r="13">
      <c r="A13" s="16">
        <f>'Cash flow'!G9</f>
        <v/>
      </c>
      <c r="B13" s="11">
        <f>'Cash flow'!G29</f>
        <v/>
      </c>
    </row>
    <row r="14">
      <c r="A14" s="16">
        <f>'Cash flow'!H9</f>
        <v/>
      </c>
      <c r="B14" s="11">
        <f>'Cash flow'!H29</f>
        <v/>
      </c>
    </row>
    <row r="15">
      <c r="A15" s="16">
        <f>'Cash flow'!I9</f>
        <v/>
      </c>
      <c r="B15" s="11">
        <f>'Cash flow'!I29</f>
        <v/>
      </c>
    </row>
    <row r="16">
      <c r="A16" s="16">
        <f>'Cash flow'!J9</f>
        <v/>
      </c>
      <c r="B16" s="11">
        <f>'Cash flow'!J29</f>
        <v/>
      </c>
    </row>
    <row r="17">
      <c r="A17" s="16">
        <f>'Cash flow'!K9</f>
        <v/>
      </c>
      <c r="B17" s="11">
        <f>'Cash flow'!K29</f>
        <v/>
      </c>
    </row>
    <row r="18">
      <c r="A18" s="16">
        <f>'Cash flow'!L9</f>
        <v/>
      </c>
      <c r="B18" s="11">
        <f>'Cash flow'!L29</f>
        <v/>
      </c>
    </row>
    <row r="19">
      <c r="A19" s="16">
        <f>'Cash flow'!M9</f>
        <v/>
      </c>
      <c r="B19" s="11">
        <f>'Cash flow'!M29</f>
        <v/>
      </c>
    </row>
  </sheetData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ClimbUK</dc:creator>
  <dc:title xmlns:dc="http://purl.org/dc/elements/1.1/">ClimbUK cash flow forecast</dc:title>
  <dc:language xmlns:dc="http://purl.org/dc/elements/1.1/">en-GB</dc:language>
  <dcterms:created xmlns:dcterms="http://purl.org/dc/terms/" xmlns:xsi="http://www.w3.org/2001/XMLSchema-instance" xsi:type="dcterms:W3CDTF">2026-10-12T22:59:13Z</dcterms:created>
  <dcterms:modified xmlns:dcterms="http://purl.org/dc/terms/" xmlns:xsi="http://www.w3.org/2001/XMLSchema-instance" xsi:type="dcterms:W3CDTF">2026-10-12T22:59:13Z</dcterms:modified>
</cp:coreProperties>
</file>