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ofit and loss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'Profit and loss'!$9:$9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and net profit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'Summary'!$B$8:$B$19</f>
            </numRef>
          </val>
        </ser>
        <ser>
          <idx val="1"/>
          <order val="1"/>
          <tx>
            <strRef>
              <f>'Summary'!C7</f>
            </strRef>
          </tx>
          <spPr>
            <a:solidFill xmlns:a="http://schemas.openxmlformats.org/drawingml/2006/main">
              <a:srgbClr val="242322"/>
            </a:solidFill>
            <a:ln xmlns:a="http://schemas.openxmlformats.org/drawingml/2006/main">
              <a:solidFill>
                <a:srgbClr val="242322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467600" cy="74295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35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PROFIT AND LOSS</t>
        </is>
      </c>
    </row>
    <row r="4" ht="30" customHeight="1">
      <c r="A4" s="2" t="inlineStr">
        <is>
          <t>PROFIT AND LOSS TRACKER</t>
        </is>
      </c>
    </row>
    <row r="5">
      <c r="A5" s="3" t="inlineStr">
        <is>
          <t>Actuals by month. Gross profit is revenue less cost of sales; net profit takes off overheads.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Revenue</t>
        </is>
      </c>
    </row>
    <row r="11">
      <c r="A11" s="9" t="inlineStr">
        <is>
          <t>Tickets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Partnerships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revenue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revenue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Cost of sales</t>
        </is>
      </c>
    </row>
    <row r="18">
      <c r="A18" s="9" t="inlineStr">
        <is>
          <t>Production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Speakers and content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Catering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Print and signage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12" t="inlineStr">
        <is>
          <t>Total cost of sales</t>
        </is>
      </c>
      <c r="B22" s="13">
        <f>SUM(B18:B21)</f>
        <v/>
      </c>
      <c r="C22" s="13">
        <f>SUM(C18:C21)</f>
        <v/>
      </c>
      <c r="D22" s="13">
        <f>SUM(D18:D21)</f>
        <v/>
      </c>
      <c r="E22" s="13">
        <f>SUM(E18:E21)</f>
        <v/>
      </c>
      <c r="F22" s="13">
        <f>SUM(F18:F21)</f>
        <v/>
      </c>
      <c r="G22" s="13">
        <f>SUM(G18:G21)</f>
        <v/>
      </c>
      <c r="H22" s="13">
        <f>SUM(H18:H21)</f>
        <v/>
      </c>
      <c r="I22" s="13">
        <f>SUM(I18:I21)</f>
        <v/>
      </c>
      <c r="J22" s="13">
        <f>SUM(J18:J21)</f>
        <v/>
      </c>
      <c r="K22" s="13">
        <f>SUM(K18:K21)</f>
        <v/>
      </c>
      <c r="L22" s="13">
        <f>SUM(L18:L21)</f>
        <v/>
      </c>
      <c r="M22" s="13">
        <f>SUM(M18:M21)</f>
        <v/>
      </c>
      <c r="N22" s="13">
        <f>SUM(N18:N21)</f>
        <v/>
      </c>
    </row>
    <row r="24">
      <c r="A24" s="8" t="inlineStr">
        <is>
          <t>Overheads</t>
        </is>
      </c>
    </row>
    <row r="25">
      <c r="A25" s="9" t="inlineStr">
        <is>
          <t>People</t>
        </is>
      </c>
      <c r="B25" s="10" t="n">
        <v>0</v>
      </c>
      <c r="C25" s="10" t="n">
        <v>0</v>
      </c>
      <c r="D25" s="10" t="n">
        <v>0</v>
      </c>
      <c r="E25" s="10" t="n">
        <v>0</v>
      </c>
      <c r="F25" s="10" t="n">
        <v>0</v>
      </c>
      <c r="G25" s="10" t="n">
        <v>0</v>
      </c>
      <c r="H25" s="10" t="n">
        <v>0</v>
      </c>
      <c r="I25" s="10" t="n">
        <v>0</v>
      </c>
      <c r="J25" s="10" t="n">
        <v>0</v>
      </c>
      <c r="K25" s="10" t="n">
        <v>0</v>
      </c>
      <c r="L25" s="10" t="n">
        <v>0</v>
      </c>
      <c r="M25" s="10" t="n">
        <v>0</v>
      </c>
      <c r="N25" s="11">
        <f>SUM(B25:M25)</f>
        <v/>
      </c>
    </row>
    <row r="26">
      <c r="A26" s="9" t="inlineStr">
        <is>
          <t>Marketing</t>
        </is>
      </c>
      <c r="B26" s="10" t="n">
        <v>0</v>
      </c>
      <c r="C26" s="10" t="n">
        <v>0</v>
      </c>
      <c r="D26" s="10" t="n">
        <v>0</v>
      </c>
      <c r="E26" s="10" t="n">
        <v>0</v>
      </c>
      <c r="F26" s="10" t="n">
        <v>0</v>
      </c>
      <c r="G26" s="10" t="n">
        <v>0</v>
      </c>
      <c r="H26" s="10" t="n">
        <v>0</v>
      </c>
      <c r="I26" s="10" t="n">
        <v>0</v>
      </c>
      <c r="J26" s="10" t="n">
        <v>0</v>
      </c>
      <c r="K26" s="10" t="n">
        <v>0</v>
      </c>
      <c r="L26" s="10" t="n">
        <v>0</v>
      </c>
      <c r="M26" s="10" t="n">
        <v>0</v>
      </c>
      <c r="N26" s="11">
        <f>SUM(B26:M26)</f>
        <v/>
      </c>
    </row>
    <row r="27">
      <c r="A27" s="9" t="inlineStr">
        <is>
          <t>Office and systems</t>
        </is>
      </c>
      <c r="B27" s="10" t="n">
        <v>0</v>
      </c>
      <c r="C27" s="10" t="n">
        <v>0</v>
      </c>
      <c r="D27" s="10" t="n">
        <v>0</v>
      </c>
      <c r="E27" s="10" t="n">
        <v>0</v>
      </c>
      <c r="F27" s="10" t="n">
        <v>0</v>
      </c>
      <c r="G27" s="10" t="n">
        <v>0</v>
      </c>
      <c r="H27" s="10" t="n">
        <v>0</v>
      </c>
      <c r="I27" s="10" t="n">
        <v>0</v>
      </c>
      <c r="J27" s="10" t="n">
        <v>0</v>
      </c>
      <c r="K27" s="10" t="n">
        <v>0</v>
      </c>
      <c r="L27" s="10" t="n">
        <v>0</v>
      </c>
      <c r="M27" s="10" t="n">
        <v>0</v>
      </c>
      <c r="N27" s="11">
        <f>SUM(B27:M27)</f>
        <v/>
      </c>
    </row>
    <row r="28">
      <c r="A28" s="9" t="inlineStr">
        <is>
          <t>Professional fees</t>
        </is>
      </c>
      <c r="B28" s="10" t="n">
        <v>0</v>
      </c>
      <c r="C28" s="10" t="n">
        <v>0</v>
      </c>
      <c r="D28" s="10" t="n">
        <v>0</v>
      </c>
      <c r="E28" s="10" t="n">
        <v>0</v>
      </c>
      <c r="F28" s="10" t="n">
        <v>0</v>
      </c>
      <c r="G28" s="10" t="n">
        <v>0</v>
      </c>
      <c r="H28" s="10" t="n">
        <v>0</v>
      </c>
      <c r="I28" s="10" t="n">
        <v>0</v>
      </c>
      <c r="J28" s="10" t="n">
        <v>0</v>
      </c>
      <c r="K28" s="10" t="n">
        <v>0</v>
      </c>
      <c r="L28" s="10" t="n">
        <v>0</v>
      </c>
      <c r="M28" s="10" t="n">
        <v>0</v>
      </c>
      <c r="N28" s="11">
        <f>SUM(B28:M28)</f>
        <v/>
      </c>
    </row>
    <row r="29">
      <c r="A29" s="9" t="inlineStr">
        <is>
          <t>Other overheads</t>
        </is>
      </c>
      <c r="B29" s="10" t="n">
        <v>0</v>
      </c>
      <c r="C29" s="10" t="n">
        <v>0</v>
      </c>
      <c r="D29" s="10" t="n">
        <v>0</v>
      </c>
      <c r="E29" s="10" t="n">
        <v>0</v>
      </c>
      <c r="F29" s="10" t="n">
        <v>0</v>
      </c>
      <c r="G29" s="10" t="n">
        <v>0</v>
      </c>
      <c r="H29" s="10" t="n">
        <v>0</v>
      </c>
      <c r="I29" s="10" t="n">
        <v>0</v>
      </c>
      <c r="J29" s="10" t="n">
        <v>0</v>
      </c>
      <c r="K29" s="10" t="n">
        <v>0</v>
      </c>
      <c r="L29" s="10" t="n">
        <v>0</v>
      </c>
      <c r="M29" s="10" t="n">
        <v>0</v>
      </c>
      <c r="N29" s="11">
        <f>SUM(B29:M29)</f>
        <v/>
      </c>
    </row>
    <row r="30">
      <c r="A30" s="12" t="inlineStr">
        <is>
          <t>Total overheads</t>
        </is>
      </c>
      <c r="B30" s="13">
        <f>SUM(B25:B29)</f>
        <v/>
      </c>
      <c r="C30" s="13">
        <f>SUM(C25:C29)</f>
        <v/>
      </c>
      <c r="D30" s="13">
        <f>SUM(D25:D29)</f>
        <v/>
      </c>
      <c r="E30" s="13">
        <f>SUM(E25:E29)</f>
        <v/>
      </c>
      <c r="F30" s="13">
        <f>SUM(F25:F29)</f>
        <v/>
      </c>
      <c r="G30" s="13">
        <f>SUM(G25:G29)</f>
        <v/>
      </c>
      <c r="H30" s="13">
        <f>SUM(H25:H29)</f>
        <v/>
      </c>
      <c r="I30" s="13">
        <f>SUM(I25:I29)</f>
        <v/>
      </c>
      <c r="J30" s="13">
        <f>SUM(J25:J29)</f>
        <v/>
      </c>
      <c r="K30" s="13">
        <f>SUM(K25:K29)</f>
        <v/>
      </c>
      <c r="L30" s="13">
        <f>SUM(L25:L29)</f>
        <v/>
      </c>
      <c r="M30" s="13">
        <f>SUM(M25:M29)</f>
        <v/>
      </c>
      <c r="N30" s="13">
        <f>SUM(N25:N29)</f>
        <v/>
      </c>
    </row>
    <row r="32">
      <c r="A32" s="14" t="inlineStr">
        <is>
          <t>Gross profit</t>
        </is>
      </c>
      <c r="B32" s="15">
        <f>B15-B22</f>
        <v/>
      </c>
      <c r="C32" s="15">
        <f>C15-C22</f>
        <v/>
      </c>
      <c r="D32" s="15">
        <f>D15-D22</f>
        <v/>
      </c>
      <c r="E32" s="15">
        <f>E15-E22</f>
        <v/>
      </c>
      <c r="F32" s="15">
        <f>F15-F22</f>
        <v/>
      </c>
      <c r="G32" s="15">
        <f>G15-G22</f>
        <v/>
      </c>
      <c r="H32" s="15">
        <f>H15-H22</f>
        <v/>
      </c>
      <c r="I32" s="15">
        <f>I15-I22</f>
        <v/>
      </c>
      <c r="J32" s="15">
        <f>J15-J22</f>
        <v/>
      </c>
      <c r="K32" s="15">
        <f>K15-K22</f>
        <v/>
      </c>
      <c r="L32" s="15">
        <f>L15-L22</f>
        <v/>
      </c>
      <c r="M32" s="15">
        <f>M15-M22</f>
        <v/>
      </c>
      <c r="N32" s="15">
        <f>N15-N22</f>
        <v/>
      </c>
    </row>
    <row r="33">
      <c r="A33" s="8" t="inlineStr">
        <is>
          <t>Gross margin</t>
        </is>
      </c>
      <c r="B33" s="16">
        <f>IF(B15=0,"",B32/B15)</f>
        <v/>
      </c>
      <c r="C33" s="16">
        <f>IF(C15=0,"",C32/C15)</f>
        <v/>
      </c>
      <c r="D33" s="16">
        <f>IF(D15=0,"",D32/D15)</f>
        <v/>
      </c>
      <c r="E33" s="16">
        <f>IF(E15=0,"",E32/E15)</f>
        <v/>
      </c>
      <c r="F33" s="16">
        <f>IF(F15=0,"",F32/F15)</f>
        <v/>
      </c>
      <c r="G33" s="16">
        <f>IF(G15=0,"",G32/G15)</f>
        <v/>
      </c>
      <c r="H33" s="16">
        <f>IF(H15=0,"",H32/H15)</f>
        <v/>
      </c>
      <c r="I33" s="16">
        <f>IF(I15=0,"",I32/I15)</f>
        <v/>
      </c>
      <c r="J33" s="16">
        <f>IF(J15=0,"",J32/J15)</f>
        <v/>
      </c>
      <c r="K33" s="16">
        <f>IF(K15=0,"",K32/K15)</f>
        <v/>
      </c>
      <c r="L33" s="16">
        <f>IF(L15=0,"",L32/L15)</f>
        <v/>
      </c>
      <c r="M33" s="16">
        <f>IF(M15=0,"",M32/M15)</f>
        <v/>
      </c>
      <c r="N33" s="16">
        <f>IF(N15=0,"",N32/N15)</f>
        <v/>
      </c>
    </row>
    <row r="35">
      <c r="A35" s="14" t="inlineStr">
        <is>
          <t>Net profit</t>
        </is>
      </c>
      <c r="B35" s="15">
        <f>B32-B30</f>
        <v/>
      </c>
      <c r="C35" s="15">
        <f>C32-C30</f>
        <v/>
      </c>
      <c r="D35" s="15">
        <f>D32-D30</f>
        <v/>
      </c>
      <c r="E35" s="15">
        <f>E32-E30</f>
        <v/>
      </c>
      <c r="F35" s="15">
        <f>F32-F30</f>
        <v/>
      </c>
      <c r="G35" s="15">
        <f>G32-G30</f>
        <v/>
      </c>
      <c r="H35" s="15">
        <f>H32-H30</f>
        <v/>
      </c>
      <c r="I35" s="15">
        <f>I32-I30</f>
        <v/>
      </c>
      <c r="J35" s="15">
        <f>J32-J30</f>
        <v/>
      </c>
      <c r="K35" s="15">
        <f>K32-K30</f>
        <v/>
      </c>
      <c r="L35" s="15">
        <f>L32-L30</f>
        <v/>
      </c>
      <c r="M35" s="15">
        <f>M32-M30</f>
        <v/>
      </c>
      <c r="N35" s="15">
        <f>N32-N30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8.5" customHeight="1"/>
    <row r="3">
      <c r="A3" s="1" t="inlineStr">
        <is>
          <t>SUMMARY</t>
        </is>
      </c>
    </row>
    <row r="4" ht="30" customHeight="1">
      <c r="A4" s="2" t="inlineStr">
        <is>
          <t>REVENUE AND NET PROFIT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Revenue</t>
        </is>
      </c>
      <c r="C7" s="6" t="inlineStr">
        <is>
          <t>Net profit</t>
        </is>
      </c>
    </row>
    <row r="8">
      <c r="A8" s="17">
        <f>'Profit and loss'!B9</f>
        <v/>
      </c>
      <c r="B8" s="11">
        <f>'Profit and loss'!B15</f>
        <v/>
      </c>
      <c r="C8" s="11">
        <f>'Profit and loss'!B35</f>
        <v/>
      </c>
    </row>
    <row r="9">
      <c r="A9" s="17">
        <f>'Profit and loss'!C9</f>
        <v/>
      </c>
      <c r="B9" s="11">
        <f>'Profit and loss'!C15</f>
        <v/>
      </c>
      <c r="C9" s="11">
        <f>'Profit and loss'!C35</f>
        <v/>
      </c>
    </row>
    <row r="10">
      <c r="A10" s="17">
        <f>'Profit and loss'!D9</f>
        <v/>
      </c>
      <c r="B10" s="11">
        <f>'Profit and loss'!D15</f>
        <v/>
      </c>
      <c r="C10" s="11">
        <f>'Profit and loss'!D35</f>
        <v/>
      </c>
    </row>
    <row r="11">
      <c r="A11" s="17">
        <f>'Profit and loss'!E9</f>
        <v/>
      </c>
      <c r="B11" s="11">
        <f>'Profit and loss'!E15</f>
        <v/>
      </c>
      <c r="C11" s="11">
        <f>'Profit and loss'!E35</f>
        <v/>
      </c>
    </row>
    <row r="12">
      <c r="A12" s="17">
        <f>'Profit and loss'!F9</f>
        <v/>
      </c>
      <c r="B12" s="11">
        <f>'Profit and loss'!F15</f>
        <v/>
      </c>
      <c r="C12" s="11">
        <f>'Profit and loss'!F35</f>
        <v/>
      </c>
    </row>
    <row r="13">
      <c r="A13" s="17">
        <f>'Profit and loss'!G9</f>
        <v/>
      </c>
      <c r="B13" s="11">
        <f>'Profit and loss'!G15</f>
        <v/>
      </c>
      <c r="C13" s="11">
        <f>'Profit and loss'!G35</f>
        <v/>
      </c>
    </row>
    <row r="14">
      <c r="A14" s="17">
        <f>'Profit and loss'!H9</f>
        <v/>
      </c>
      <c r="B14" s="11">
        <f>'Profit and loss'!H15</f>
        <v/>
      </c>
      <c r="C14" s="11">
        <f>'Profit and loss'!H35</f>
        <v/>
      </c>
    </row>
    <row r="15">
      <c r="A15" s="17">
        <f>'Profit and loss'!I9</f>
        <v/>
      </c>
      <c r="B15" s="11">
        <f>'Profit and loss'!I15</f>
        <v/>
      </c>
      <c r="C15" s="11">
        <f>'Profit and loss'!I35</f>
        <v/>
      </c>
    </row>
    <row r="16">
      <c r="A16" s="17">
        <f>'Profit and loss'!J9</f>
        <v/>
      </c>
      <c r="B16" s="11">
        <f>'Profit and loss'!J15</f>
        <v/>
      </c>
      <c r="C16" s="11">
        <f>'Profit and loss'!J35</f>
        <v/>
      </c>
    </row>
    <row r="17">
      <c r="A17" s="17">
        <f>'Profit and loss'!K9</f>
        <v/>
      </c>
      <c r="B17" s="11">
        <f>'Profit and loss'!K15</f>
        <v/>
      </c>
      <c r="C17" s="11">
        <f>'Profit and loss'!K35</f>
        <v/>
      </c>
    </row>
    <row r="18">
      <c r="A18" s="17">
        <f>'Profit and loss'!L9</f>
        <v/>
      </c>
      <c r="B18" s="11">
        <f>'Profit and loss'!L15</f>
        <v/>
      </c>
      <c r="C18" s="11">
        <f>'Profit and loss'!L35</f>
        <v/>
      </c>
    </row>
    <row r="19">
      <c r="A19" s="17">
        <f>'Profit and loss'!M9</f>
        <v/>
      </c>
      <c r="B19" s="11">
        <f>'Profit and loss'!M15</f>
        <v/>
      </c>
      <c r="C19" s="11">
        <f>'Profit and loss'!M35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profit and loss tracker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