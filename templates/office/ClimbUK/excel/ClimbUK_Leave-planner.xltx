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heet" sheetId="1" state="visible" r:id="rId1"/>
  </sheets>
  <definedNames>
    <definedName name="_xlnm.Print_Titles" localSheetId="0">'Sheet'!$9:$9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mmm yyyy"/>
    <numFmt numFmtId="166" formatCode="d"/>
  </numFmts>
  <fonts count="7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242322"/>
      <sz val="9"/>
    </font>
    <font>
      <name val="Montserrat"/>
      <b val="1"/>
      <color rgb="00FFFFFF"/>
      <sz val="9"/>
    </font>
  </fonts>
  <fills count="4">
    <fill>
      <patternFill/>
    </fill>
    <fill>
      <patternFill patternType="gray125"/>
    </fill>
    <fill>
      <patternFill patternType="solid">
        <fgColor rgb="00E9E9E9"/>
      </patternFill>
    </fill>
    <fill>
      <patternFill patternType="solid">
        <fgColor rgb="001E0F05"/>
      </patternFill>
    </fill>
  </fills>
  <borders count="2">
    <border>
      <left/>
      <right/>
      <top/>
      <bottom/>
      <diagonal/>
    </border>
    <border>
      <left style="thin">
        <color rgb="00E9E9E9"/>
      </left>
      <right style="thin">
        <color rgb="00E9E9E9"/>
      </right>
      <top style="thin">
        <color rgb="00E9E9E9"/>
      </top>
      <bottom style="thin">
        <color rgb="00E9E9E9"/>
      </bottom>
    </border>
  </borders>
  <cellStyleXfs count="1">
    <xf numFmtId="0" fontId="1" fillId="0" borderId="0"/>
  </cellStyleXfs>
  <cellXfs count="12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vertical="top"/>
    </xf>
    <xf numFmtId="165" fontId="1" fillId="2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/>
    </xf>
    <xf numFmtId="0" fontId="6" fillId="3" borderId="0" applyAlignment="1" pivotButton="0" quotePrefix="0" xfId="0">
      <alignment vertical="center" wrapText="1"/>
    </xf>
    <xf numFmtId="166" fontId="6" fillId="3" borderId="0" applyAlignment="1" pivotButton="0" quotePrefix="0" xfId="0">
      <alignment horizontal="center" vertical="center"/>
    </xf>
    <xf numFmtId="0" fontId="1" fillId="2" borderId="0" applyAlignment="1" pivotButton="0" quotePrefix="0" xfId="0">
      <alignment vertical="top" wrapText="1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top" wrapText="1"/>
    </xf>
  </cellXfs>
  <cellStyles count="1">
    <cellStyle name="Normal" xfId="0" builtinId="0" hidden="0"/>
  </cellStyles>
  <dxfs count="5">
    <dxf>
      <font>
        <b val="1"/>
        <color rgb="001E0F05"/>
      </font>
      <fill>
        <patternFill patternType="solid">
          <fgColor rgb="00E8712A"/>
        </patternFill>
      </fill>
    </dxf>
    <dxf>
      <font>
        <b val="1"/>
        <color rgb="00FFFFFF"/>
      </font>
      <fill>
        <patternFill patternType="solid">
          <fgColor rgb="001E0F05"/>
        </patternFill>
      </fill>
    </dxf>
    <dxf>
      <font>
        <b val="1"/>
        <color rgb="001E0F05"/>
      </font>
      <fill>
        <patternFill patternType="solid">
          <fgColor rgb="00F2AE86"/>
        </patternFill>
      </fill>
    </dxf>
    <dxf>
      <font>
        <b val="1"/>
        <color rgb="00242322"/>
      </font>
      <fill>
        <patternFill patternType="solid">
          <fgColor rgb="00E9E9E9"/>
        </patternFill>
      </fill>
    </dxf>
    <dxf>
      <fill>
        <patternFill patternType="solid">
          <fgColor rgb="00E9E9E9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2239625" cy="12192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ClimbUK">
  <a:themeElements>
    <a:clrScheme name="ClimbUK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UK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AK21"/>
  <sheetViews>
    <sheetView showGridLines="0" workbookViewId="0">
      <pane xSplit="2" ySplit="9" topLeftCell="C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0" customWidth="1" min="1" max="1"/>
    <col width="10" customWidth="1" min="2" max="2"/>
    <col width="3.6" customWidth="1" min="3" max="3"/>
    <col width="3.6" customWidth="1" min="4" max="4"/>
    <col width="3.6" customWidth="1" min="5" max="5"/>
    <col width="3.6" customWidth="1" min="6" max="6"/>
    <col width="3.6" customWidth="1" min="7" max="7"/>
    <col width="3.6" customWidth="1" min="8" max="8"/>
    <col width="3.6" customWidth="1" min="9" max="9"/>
    <col width="3.6" customWidth="1" min="10" max="10"/>
    <col width="3.6" customWidth="1" min="11" max="11"/>
    <col width="3.6" customWidth="1" min="12" max="12"/>
    <col width="3.6" customWidth="1" min="13" max="13"/>
    <col width="3.6" customWidth="1" min="14" max="14"/>
    <col width="3.6" customWidth="1" min="15" max="15"/>
    <col width="3.6" customWidth="1" min="16" max="16"/>
    <col width="3.6" customWidth="1" min="17" max="17"/>
    <col width="3.6" customWidth="1" min="18" max="18"/>
    <col width="3.6" customWidth="1" min="19" max="19"/>
    <col width="3.6" customWidth="1" min="20" max="20"/>
    <col width="3.6" customWidth="1" min="21" max="21"/>
    <col width="3.6" customWidth="1" min="22" max="22"/>
    <col width="3.6" customWidth="1" min="23" max="23"/>
    <col width="3.6" customWidth="1" min="24" max="24"/>
    <col width="3.6" customWidth="1" min="25" max="25"/>
    <col width="3.6" customWidth="1" min="26" max="26"/>
    <col width="3.6" customWidth="1" min="27" max="27"/>
    <col width="3.6" customWidth="1" min="28" max="28"/>
    <col width="3.6" customWidth="1" min="29" max="29"/>
    <col width="3.6" customWidth="1" min="30" max="30"/>
    <col width="3.6" customWidth="1" min="31" max="31"/>
    <col width="3.6" customWidth="1" min="32" max="32"/>
    <col width="3.6" customWidth="1" min="33" max="33"/>
    <col width="9" customWidth="1" min="34" max="34"/>
    <col width="9" customWidth="1" min="35" max="35"/>
    <col width="9" customWidth="1" min="36" max="36"/>
    <col width="10" customWidth="1" min="37" max="37"/>
  </cols>
  <sheetData>
    <row r="1" ht="96" customHeight="1"/>
    <row r="3">
      <c r="A3" s="1" t="inlineStr">
        <is>
          <t>LEAVE</t>
        </is>
      </c>
    </row>
    <row r="4" ht="30" customHeight="1">
      <c r="A4" s="2" t="inlineStr">
        <is>
          <t>HOLIDAY AND LEAVE PLANNER</t>
        </is>
      </c>
    </row>
    <row r="5">
      <c r="A5" s="3" t="inlineStr">
        <is>
          <t>One row per person, one sheet per month. Type a code in each day: H holiday, S sick, T training, W working from home, B bank holiday.</t>
        </is>
      </c>
    </row>
    <row r="7">
      <c r="A7" s="4" t="inlineStr">
        <is>
          <t>Month</t>
        </is>
      </c>
      <c r="B7" s="5" t="n">
        <v>46296</v>
      </c>
      <c r="D7" s="4" t="inlineStr">
        <is>
          <t>Codes</t>
        </is>
      </c>
      <c r="E7" s="6" t="inlineStr">
        <is>
          <t>H holiday, S sick, T training, W working from home, B bank holiday</t>
        </is>
      </c>
    </row>
    <row r="9" ht="30" customHeight="1">
      <c r="A9" s="7" t="inlineStr">
        <is>
          <t>Name</t>
        </is>
      </c>
      <c r="B9" s="7" t="inlineStr">
        <is>
          <t>Allowance</t>
        </is>
      </c>
      <c r="C9" s="8">
        <f>IF(DAY($B$7+0)=1,$B$7+0,"")</f>
        <v/>
      </c>
      <c r="D9" s="8">
        <f>IF(DAY($B$7+1)=2,$B$7+1,"")</f>
        <v/>
      </c>
      <c r="E9" s="8">
        <f>IF(DAY($B$7+2)=3,$B$7+2,"")</f>
        <v/>
      </c>
      <c r="F9" s="8">
        <f>IF(DAY($B$7+3)=4,$B$7+3,"")</f>
        <v/>
      </c>
      <c r="G9" s="8">
        <f>IF(DAY($B$7+4)=5,$B$7+4,"")</f>
        <v/>
      </c>
      <c r="H9" s="8">
        <f>IF(DAY($B$7+5)=6,$B$7+5,"")</f>
        <v/>
      </c>
      <c r="I9" s="8">
        <f>IF(DAY($B$7+6)=7,$B$7+6,"")</f>
        <v/>
      </c>
      <c r="J9" s="8">
        <f>IF(DAY($B$7+7)=8,$B$7+7,"")</f>
        <v/>
      </c>
      <c r="K9" s="8">
        <f>IF(DAY($B$7+8)=9,$B$7+8,"")</f>
        <v/>
      </c>
      <c r="L9" s="8">
        <f>IF(DAY($B$7+9)=10,$B$7+9,"")</f>
        <v/>
      </c>
      <c r="M9" s="8">
        <f>IF(DAY($B$7+10)=11,$B$7+10,"")</f>
        <v/>
      </c>
      <c r="N9" s="8">
        <f>IF(DAY($B$7+11)=12,$B$7+11,"")</f>
        <v/>
      </c>
      <c r="O9" s="8">
        <f>IF(DAY($B$7+12)=13,$B$7+12,"")</f>
        <v/>
      </c>
      <c r="P9" s="8">
        <f>IF(DAY($B$7+13)=14,$B$7+13,"")</f>
        <v/>
      </c>
      <c r="Q9" s="8">
        <f>IF(DAY($B$7+14)=15,$B$7+14,"")</f>
        <v/>
      </c>
      <c r="R9" s="8">
        <f>IF(DAY($B$7+15)=16,$B$7+15,"")</f>
        <v/>
      </c>
      <c r="S9" s="8">
        <f>IF(DAY($B$7+16)=17,$B$7+16,"")</f>
        <v/>
      </c>
      <c r="T9" s="8">
        <f>IF(DAY($B$7+17)=18,$B$7+17,"")</f>
        <v/>
      </c>
      <c r="U9" s="8">
        <f>IF(DAY($B$7+18)=19,$B$7+18,"")</f>
        <v/>
      </c>
      <c r="V9" s="8">
        <f>IF(DAY($B$7+19)=20,$B$7+19,"")</f>
        <v/>
      </c>
      <c r="W9" s="8">
        <f>IF(DAY($B$7+20)=21,$B$7+20,"")</f>
        <v/>
      </c>
      <c r="X9" s="8">
        <f>IF(DAY($B$7+21)=22,$B$7+21,"")</f>
        <v/>
      </c>
      <c r="Y9" s="8">
        <f>IF(DAY($B$7+22)=23,$B$7+22,"")</f>
        <v/>
      </c>
      <c r="Z9" s="8">
        <f>IF(DAY($B$7+23)=24,$B$7+23,"")</f>
        <v/>
      </c>
      <c r="AA9" s="8">
        <f>IF(DAY($B$7+24)=25,$B$7+24,"")</f>
        <v/>
      </c>
      <c r="AB9" s="8">
        <f>IF(DAY($B$7+25)=26,$B$7+25,"")</f>
        <v/>
      </c>
      <c r="AC9" s="8">
        <f>IF(DAY($B$7+26)=27,$B$7+26,"")</f>
        <v/>
      </c>
      <c r="AD9" s="8">
        <f>IF(DAY($B$7+27)=28,$B$7+27,"")</f>
        <v/>
      </c>
      <c r="AE9" s="8">
        <f>IF(DAY($B$7+28)=29,$B$7+28,"")</f>
        <v/>
      </c>
      <c r="AF9" s="8">
        <f>IF(DAY($B$7+29)=30,$B$7+29,"")</f>
        <v/>
      </c>
      <c r="AG9" s="8">
        <f>IF(DAY($B$7+30)=31,$B$7+30,"")</f>
        <v/>
      </c>
      <c r="AH9" s="7" t="inlineStr">
        <is>
          <t>Holiday</t>
        </is>
      </c>
      <c r="AI9" s="7" t="inlineStr">
        <is>
          <t>Sick</t>
        </is>
      </c>
      <c r="AJ9" s="7" t="inlineStr">
        <is>
          <t>Training</t>
        </is>
      </c>
      <c r="AK9" s="7" t="inlineStr">
        <is>
          <t>Holiday left</t>
        </is>
      </c>
    </row>
    <row r="10">
      <c r="A10" s="9" t="inlineStr">
        <is>
          <t>[Name]</t>
        </is>
      </c>
      <c r="B10" s="9" t="n">
        <v>25</v>
      </c>
      <c r="C10" s="10" t="n"/>
      <c r="D10" s="10" t="n"/>
      <c r="E10" s="10" t="n"/>
      <c r="F10" s="10" t="n"/>
      <c r="G10" s="10" t="n"/>
      <c r="H10" s="10" t="n"/>
      <c r="I10" s="10" t="n"/>
      <c r="J10" s="10" t="n"/>
      <c r="K10" s="10" t="n"/>
      <c r="L10" s="10" t="n"/>
      <c r="M10" s="10" t="n"/>
      <c r="N10" s="10" t="n"/>
      <c r="O10" s="10" t="n"/>
      <c r="P10" s="10" t="n"/>
      <c r="Q10" s="10" t="n"/>
      <c r="R10" s="10" t="n"/>
      <c r="S10" s="10" t="n"/>
      <c r="T10" s="10" t="n"/>
      <c r="U10" s="10" t="n"/>
      <c r="V10" s="10" t="n"/>
      <c r="W10" s="10" t="n"/>
      <c r="X10" s="10" t="n"/>
      <c r="Y10" s="10" t="n"/>
      <c r="Z10" s="10" t="n"/>
      <c r="AA10" s="10" t="n"/>
      <c r="AB10" s="10" t="n"/>
      <c r="AC10" s="10" t="n"/>
      <c r="AD10" s="10" t="n"/>
      <c r="AE10" s="10" t="n"/>
      <c r="AF10" s="10" t="n"/>
      <c r="AG10" s="10" t="n"/>
      <c r="AH10" s="11">
        <f>COUNTIF(C10:AG10,"H")</f>
        <v/>
      </c>
      <c r="AI10" s="11">
        <f>COUNTIF(C10:AG10,"S")</f>
        <v/>
      </c>
      <c r="AJ10" s="11">
        <f>COUNTIF(C10:AG10,"T")</f>
        <v/>
      </c>
      <c r="AK10" s="11">
        <f>IF(ISNUMBER(B10),B10-AH10,"")</f>
        <v/>
      </c>
    </row>
    <row r="11">
      <c r="A11" s="9" t="inlineStr"/>
      <c r="B11" s="9" t="n"/>
      <c r="C11" s="10" t="n"/>
      <c r="D11" s="10" t="n"/>
      <c r="E11" s="10" t="n"/>
      <c r="F11" s="10" t="n"/>
      <c r="G11" s="10" t="n"/>
      <c r="H11" s="10" t="n"/>
      <c r="I11" s="10" t="n"/>
      <c r="J11" s="10" t="n"/>
      <c r="K11" s="10" t="n"/>
      <c r="L11" s="10" t="n"/>
      <c r="M11" s="10" t="n"/>
      <c r="N11" s="10" t="n"/>
      <c r="O11" s="10" t="n"/>
      <c r="P11" s="10" t="n"/>
      <c r="Q11" s="10" t="n"/>
      <c r="R11" s="10" t="n"/>
      <c r="S11" s="10" t="n"/>
      <c r="T11" s="10" t="n"/>
      <c r="U11" s="10" t="n"/>
      <c r="V11" s="10" t="n"/>
      <c r="W11" s="10" t="n"/>
      <c r="X11" s="10" t="n"/>
      <c r="Y11" s="10" t="n"/>
      <c r="Z11" s="10" t="n"/>
      <c r="AA11" s="10" t="n"/>
      <c r="AB11" s="10" t="n"/>
      <c r="AC11" s="10" t="n"/>
      <c r="AD11" s="10" t="n"/>
      <c r="AE11" s="10" t="n"/>
      <c r="AF11" s="10" t="n"/>
      <c r="AG11" s="10" t="n"/>
      <c r="AH11" s="11">
        <f>COUNTIF(C11:AG11,"H")</f>
        <v/>
      </c>
      <c r="AI11" s="11">
        <f>COUNTIF(C11:AG11,"S")</f>
        <v/>
      </c>
      <c r="AJ11" s="11">
        <f>COUNTIF(C11:AG11,"T")</f>
        <v/>
      </c>
      <c r="AK11" s="11">
        <f>IF(ISNUMBER(B11),B11-AH11,"")</f>
        <v/>
      </c>
    </row>
    <row r="12">
      <c r="A12" s="9" t="inlineStr"/>
      <c r="B12" s="9" t="n"/>
      <c r="C12" s="10" t="n"/>
      <c r="D12" s="10" t="n"/>
      <c r="E12" s="10" t="n"/>
      <c r="F12" s="10" t="n"/>
      <c r="G12" s="10" t="n"/>
      <c r="H12" s="10" t="n"/>
      <c r="I12" s="10" t="n"/>
      <c r="J12" s="10" t="n"/>
      <c r="K12" s="10" t="n"/>
      <c r="L12" s="10" t="n"/>
      <c r="M12" s="10" t="n"/>
      <c r="N12" s="10" t="n"/>
      <c r="O12" s="10" t="n"/>
      <c r="P12" s="10" t="n"/>
      <c r="Q12" s="10" t="n"/>
      <c r="R12" s="10" t="n"/>
      <c r="S12" s="10" t="n"/>
      <c r="T12" s="10" t="n"/>
      <c r="U12" s="10" t="n"/>
      <c r="V12" s="10" t="n"/>
      <c r="W12" s="10" t="n"/>
      <c r="X12" s="10" t="n"/>
      <c r="Y12" s="10" t="n"/>
      <c r="Z12" s="10" t="n"/>
      <c r="AA12" s="10" t="n"/>
      <c r="AB12" s="10" t="n"/>
      <c r="AC12" s="10" t="n"/>
      <c r="AD12" s="10" t="n"/>
      <c r="AE12" s="10" t="n"/>
      <c r="AF12" s="10" t="n"/>
      <c r="AG12" s="10" t="n"/>
      <c r="AH12" s="11">
        <f>COUNTIF(C12:AG12,"H")</f>
        <v/>
      </c>
      <c r="AI12" s="11">
        <f>COUNTIF(C12:AG12,"S")</f>
        <v/>
      </c>
      <c r="AJ12" s="11">
        <f>COUNTIF(C12:AG12,"T")</f>
        <v/>
      </c>
      <c r="AK12" s="11">
        <f>IF(ISNUMBER(B12),B12-AH12,"")</f>
        <v/>
      </c>
    </row>
    <row r="13">
      <c r="A13" s="9" t="inlineStr"/>
      <c r="B13" s="9" t="n"/>
      <c r="C13" s="10" t="n"/>
      <c r="D13" s="10" t="n"/>
      <c r="E13" s="10" t="n"/>
      <c r="F13" s="10" t="n"/>
      <c r="G13" s="10" t="n"/>
      <c r="H13" s="10" t="n"/>
      <c r="I13" s="10" t="n"/>
      <c r="J13" s="10" t="n"/>
      <c r="K13" s="10" t="n"/>
      <c r="L13" s="10" t="n"/>
      <c r="M13" s="10" t="n"/>
      <c r="N13" s="10" t="n"/>
      <c r="O13" s="10" t="n"/>
      <c r="P13" s="10" t="n"/>
      <c r="Q13" s="10" t="n"/>
      <c r="R13" s="10" t="n"/>
      <c r="S13" s="10" t="n"/>
      <c r="T13" s="10" t="n"/>
      <c r="U13" s="10" t="n"/>
      <c r="V13" s="10" t="n"/>
      <c r="W13" s="10" t="n"/>
      <c r="X13" s="10" t="n"/>
      <c r="Y13" s="10" t="n"/>
      <c r="Z13" s="10" t="n"/>
      <c r="AA13" s="10" t="n"/>
      <c r="AB13" s="10" t="n"/>
      <c r="AC13" s="10" t="n"/>
      <c r="AD13" s="10" t="n"/>
      <c r="AE13" s="10" t="n"/>
      <c r="AF13" s="10" t="n"/>
      <c r="AG13" s="10" t="n"/>
      <c r="AH13" s="11">
        <f>COUNTIF(C13:AG13,"H")</f>
        <v/>
      </c>
      <c r="AI13" s="11">
        <f>COUNTIF(C13:AG13,"S")</f>
        <v/>
      </c>
      <c r="AJ13" s="11">
        <f>COUNTIF(C13:AG13,"T")</f>
        <v/>
      </c>
      <c r="AK13" s="11">
        <f>IF(ISNUMBER(B13),B13-AH13,"")</f>
        <v/>
      </c>
    </row>
    <row r="14">
      <c r="A14" s="9" t="inlineStr"/>
      <c r="B14" s="9" t="n"/>
      <c r="C14" s="10" t="n"/>
      <c r="D14" s="10" t="n"/>
      <c r="E14" s="10" t="n"/>
      <c r="F14" s="10" t="n"/>
      <c r="G14" s="10" t="n"/>
      <c r="H14" s="10" t="n"/>
      <c r="I14" s="10" t="n"/>
      <c r="J14" s="10" t="n"/>
      <c r="K14" s="10" t="n"/>
      <c r="L14" s="10" t="n"/>
      <c r="M14" s="10" t="n"/>
      <c r="N14" s="10" t="n"/>
      <c r="O14" s="10" t="n"/>
      <c r="P14" s="10" t="n"/>
      <c r="Q14" s="10" t="n"/>
      <c r="R14" s="10" t="n"/>
      <c r="S14" s="10" t="n"/>
      <c r="T14" s="10" t="n"/>
      <c r="U14" s="10" t="n"/>
      <c r="V14" s="10" t="n"/>
      <c r="W14" s="10" t="n"/>
      <c r="X14" s="10" t="n"/>
      <c r="Y14" s="10" t="n"/>
      <c r="Z14" s="10" t="n"/>
      <c r="AA14" s="10" t="n"/>
      <c r="AB14" s="10" t="n"/>
      <c r="AC14" s="10" t="n"/>
      <c r="AD14" s="10" t="n"/>
      <c r="AE14" s="10" t="n"/>
      <c r="AF14" s="10" t="n"/>
      <c r="AG14" s="10" t="n"/>
      <c r="AH14" s="11">
        <f>COUNTIF(C14:AG14,"H")</f>
        <v/>
      </c>
      <c r="AI14" s="11">
        <f>COUNTIF(C14:AG14,"S")</f>
        <v/>
      </c>
      <c r="AJ14" s="11">
        <f>COUNTIF(C14:AG14,"T")</f>
        <v/>
      </c>
      <c r="AK14" s="11">
        <f>IF(ISNUMBER(B14),B14-AH14,"")</f>
        <v/>
      </c>
    </row>
    <row r="15">
      <c r="A15" s="9" t="inlineStr"/>
      <c r="B15" s="9" t="n"/>
      <c r="C15" s="10" t="n"/>
      <c r="D15" s="10" t="n"/>
      <c r="E15" s="10" t="n"/>
      <c r="F15" s="10" t="n"/>
      <c r="G15" s="10" t="n"/>
      <c r="H15" s="10" t="n"/>
      <c r="I15" s="10" t="n"/>
      <c r="J15" s="10" t="n"/>
      <c r="K15" s="10" t="n"/>
      <c r="L15" s="10" t="n"/>
      <c r="M15" s="10" t="n"/>
      <c r="N15" s="10" t="n"/>
      <c r="O15" s="10" t="n"/>
      <c r="P15" s="10" t="n"/>
      <c r="Q15" s="10" t="n"/>
      <c r="R15" s="10" t="n"/>
      <c r="S15" s="10" t="n"/>
      <c r="T15" s="10" t="n"/>
      <c r="U15" s="10" t="n"/>
      <c r="V15" s="10" t="n"/>
      <c r="W15" s="10" t="n"/>
      <c r="X15" s="10" t="n"/>
      <c r="Y15" s="10" t="n"/>
      <c r="Z15" s="10" t="n"/>
      <c r="AA15" s="10" t="n"/>
      <c r="AB15" s="10" t="n"/>
      <c r="AC15" s="10" t="n"/>
      <c r="AD15" s="10" t="n"/>
      <c r="AE15" s="10" t="n"/>
      <c r="AF15" s="10" t="n"/>
      <c r="AG15" s="10" t="n"/>
      <c r="AH15" s="11">
        <f>COUNTIF(C15:AG15,"H")</f>
        <v/>
      </c>
      <c r="AI15" s="11">
        <f>COUNTIF(C15:AG15,"S")</f>
        <v/>
      </c>
      <c r="AJ15" s="11">
        <f>COUNTIF(C15:AG15,"T")</f>
        <v/>
      </c>
      <c r="AK15" s="11">
        <f>IF(ISNUMBER(B15),B15-AH15,"")</f>
        <v/>
      </c>
    </row>
    <row r="16">
      <c r="A16" s="9" t="inlineStr"/>
      <c r="B16" s="9" t="n"/>
      <c r="C16" s="10" t="n"/>
      <c r="D16" s="10" t="n"/>
      <c r="E16" s="10" t="n"/>
      <c r="F16" s="10" t="n"/>
      <c r="G16" s="10" t="n"/>
      <c r="H16" s="10" t="n"/>
      <c r="I16" s="10" t="n"/>
      <c r="J16" s="10" t="n"/>
      <c r="K16" s="10" t="n"/>
      <c r="L16" s="10" t="n"/>
      <c r="M16" s="10" t="n"/>
      <c r="N16" s="10" t="n"/>
      <c r="O16" s="10" t="n"/>
      <c r="P16" s="10" t="n"/>
      <c r="Q16" s="10" t="n"/>
      <c r="R16" s="10" t="n"/>
      <c r="S16" s="10" t="n"/>
      <c r="T16" s="10" t="n"/>
      <c r="U16" s="10" t="n"/>
      <c r="V16" s="10" t="n"/>
      <c r="W16" s="10" t="n"/>
      <c r="X16" s="10" t="n"/>
      <c r="Y16" s="10" t="n"/>
      <c r="Z16" s="10" t="n"/>
      <c r="AA16" s="10" t="n"/>
      <c r="AB16" s="10" t="n"/>
      <c r="AC16" s="10" t="n"/>
      <c r="AD16" s="10" t="n"/>
      <c r="AE16" s="10" t="n"/>
      <c r="AF16" s="10" t="n"/>
      <c r="AG16" s="10" t="n"/>
      <c r="AH16" s="11">
        <f>COUNTIF(C16:AG16,"H")</f>
        <v/>
      </c>
      <c r="AI16" s="11">
        <f>COUNTIF(C16:AG16,"S")</f>
        <v/>
      </c>
      <c r="AJ16" s="11">
        <f>COUNTIF(C16:AG16,"T")</f>
        <v/>
      </c>
      <c r="AK16" s="11">
        <f>IF(ISNUMBER(B16),B16-AH16,"")</f>
        <v/>
      </c>
    </row>
    <row r="17">
      <c r="A17" s="9" t="inlineStr"/>
      <c r="B17" s="9" t="n"/>
      <c r="C17" s="10" t="n"/>
      <c r="D17" s="10" t="n"/>
      <c r="E17" s="10" t="n"/>
      <c r="F17" s="10" t="n"/>
      <c r="G17" s="10" t="n"/>
      <c r="H17" s="10" t="n"/>
      <c r="I17" s="10" t="n"/>
      <c r="J17" s="10" t="n"/>
      <c r="K17" s="10" t="n"/>
      <c r="L17" s="10" t="n"/>
      <c r="M17" s="10" t="n"/>
      <c r="N17" s="10" t="n"/>
      <c r="O17" s="10" t="n"/>
      <c r="P17" s="10" t="n"/>
      <c r="Q17" s="10" t="n"/>
      <c r="R17" s="10" t="n"/>
      <c r="S17" s="10" t="n"/>
      <c r="T17" s="10" t="n"/>
      <c r="U17" s="10" t="n"/>
      <c r="V17" s="10" t="n"/>
      <c r="W17" s="10" t="n"/>
      <c r="X17" s="10" t="n"/>
      <c r="Y17" s="10" t="n"/>
      <c r="Z17" s="10" t="n"/>
      <c r="AA17" s="10" t="n"/>
      <c r="AB17" s="10" t="n"/>
      <c r="AC17" s="10" t="n"/>
      <c r="AD17" s="10" t="n"/>
      <c r="AE17" s="10" t="n"/>
      <c r="AF17" s="10" t="n"/>
      <c r="AG17" s="10" t="n"/>
      <c r="AH17" s="11">
        <f>COUNTIF(C17:AG17,"H")</f>
        <v/>
      </c>
      <c r="AI17" s="11">
        <f>COUNTIF(C17:AG17,"S")</f>
        <v/>
      </c>
      <c r="AJ17" s="11">
        <f>COUNTIF(C17:AG17,"T")</f>
        <v/>
      </c>
      <c r="AK17" s="11">
        <f>IF(ISNUMBER(B17),B17-AH17,"")</f>
        <v/>
      </c>
    </row>
    <row r="18">
      <c r="A18" s="9" t="inlineStr"/>
      <c r="B18" s="9" t="n"/>
      <c r="C18" s="10" t="n"/>
      <c r="D18" s="10" t="n"/>
      <c r="E18" s="10" t="n"/>
      <c r="F18" s="10" t="n"/>
      <c r="G18" s="10" t="n"/>
      <c r="H18" s="10" t="n"/>
      <c r="I18" s="10" t="n"/>
      <c r="J18" s="10" t="n"/>
      <c r="K18" s="10" t="n"/>
      <c r="L18" s="10" t="n"/>
      <c r="M18" s="10" t="n"/>
      <c r="N18" s="10" t="n"/>
      <c r="O18" s="10" t="n"/>
      <c r="P18" s="10" t="n"/>
      <c r="Q18" s="10" t="n"/>
      <c r="R18" s="10" t="n"/>
      <c r="S18" s="10" t="n"/>
      <c r="T18" s="10" t="n"/>
      <c r="U18" s="10" t="n"/>
      <c r="V18" s="10" t="n"/>
      <c r="W18" s="10" t="n"/>
      <c r="X18" s="10" t="n"/>
      <c r="Y18" s="10" t="n"/>
      <c r="Z18" s="10" t="n"/>
      <c r="AA18" s="10" t="n"/>
      <c r="AB18" s="10" t="n"/>
      <c r="AC18" s="10" t="n"/>
      <c r="AD18" s="10" t="n"/>
      <c r="AE18" s="10" t="n"/>
      <c r="AF18" s="10" t="n"/>
      <c r="AG18" s="10" t="n"/>
      <c r="AH18" s="11">
        <f>COUNTIF(C18:AG18,"H")</f>
        <v/>
      </c>
      <c r="AI18" s="11">
        <f>COUNTIF(C18:AG18,"S")</f>
        <v/>
      </c>
      <c r="AJ18" s="11">
        <f>COUNTIF(C18:AG18,"T")</f>
        <v/>
      </c>
      <c r="AK18" s="11">
        <f>IF(ISNUMBER(B18),B18-AH18,"")</f>
        <v/>
      </c>
    </row>
    <row r="19">
      <c r="A19" s="9" t="inlineStr"/>
      <c r="B19" s="9" t="n"/>
      <c r="C19" s="10" t="n"/>
      <c r="D19" s="10" t="n"/>
      <c r="E19" s="10" t="n"/>
      <c r="F19" s="10" t="n"/>
      <c r="G19" s="10" t="n"/>
      <c r="H19" s="10" t="n"/>
      <c r="I19" s="10" t="n"/>
      <c r="J19" s="10" t="n"/>
      <c r="K19" s="10" t="n"/>
      <c r="L19" s="10" t="n"/>
      <c r="M19" s="10" t="n"/>
      <c r="N19" s="10" t="n"/>
      <c r="O19" s="10" t="n"/>
      <c r="P19" s="10" t="n"/>
      <c r="Q19" s="10" t="n"/>
      <c r="R19" s="10" t="n"/>
      <c r="S19" s="10" t="n"/>
      <c r="T19" s="10" t="n"/>
      <c r="U19" s="10" t="n"/>
      <c r="V19" s="10" t="n"/>
      <c r="W19" s="10" t="n"/>
      <c r="X19" s="10" t="n"/>
      <c r="Y19" s="10" t="n"/>
      <c r="Z19" s="10" t="n"/>
      <c r="AA19" s="10" t="n"/>
      <c r="AB19" s="10" t="n"/>
      <c r="AC19" s="10" t="n"/>
      <c r="AD19" s="10" t="n"/>
      <c r="AE19" s="10" t="n"/>
      <c r="AF19" s="10" t="n"/>
      <c r="AG19" s="10" t="n"/>
      <c r="AH19" s="11">
        <f>COUNTIF(C19:AG19,"H")</f>
        <v/>
      </c>
      <c r="AI19" s="11">
        <f>COUNTIF(C19:AG19,"S")</f>
        <v/>
      </c>
      <c r="AJ19" s="11">
        <f>COUNTIF(C19:AG19,"T")</f>
        <v/>
      </c>
      <c r="AK19" s="11">
        <f>IF(ISNUMBER(B19),B19-AH19,"")</f>
        <v/>
      </c>
    </row>
    <row r="20">
      <c r="A20" s="9" t="inlineStr"/>
      <c r="B20" s="9" t="n"/>
      <c r="C20" s="10" t="n"/>
      <c r="D20" s="10" t="n"/>
      <c r="E20" s="10" t="n"/>
      <c r="F20" s="10" t="n"/>
      <c r="G20" s="10" t="n"/>
      <c r="H20" s="10" t="n"/>
      <c r="I20" s="10" t="n"/>
      <c r="J20" s="10" t="n"/>
      <c r="K20" s="10" t="n"/>
      <c r="L20" s="10" t="n"/>
      <c r="M20" s="10" t="n"/>
      <c r="N20" s="10" t="n"/>
      <c r="O20" s="10" t="n"/>
      <c r="P20" s="10" t="n"/>
      <c r="Q20" s="10" t="n"/>
      <c r="R20" s="10" t="n"/>
      <c r="S20" s="10" t="n"/>
      <c r="T20" s="10" t="n"/>
      <c r="U20" s="10" t="n"/>
      <c r="V20" s="10" t="n"/>
      <c r="W20" s="10" t="n"/>
      <c r="X20" s="10" t="n"/>
      <c r="Y20" s="10" t="n"/>
      <c r="Z20" s="10" t="n"/>
      <c r="AA20" s="10" t="n"/>
      <c r="AB20" s="10" t="n"/>
      <c r="AC20" s="10" t="n"/>
      <c r="AD20" s="10" t="n"/>
      <c r="AE20" s="10" t="n"/>
      <c r="AF20" s="10" t="n"/>
      <c r="AG20" s="10" t="n"/>
      <c r="AH20" s="11">
        <f>COUNTIF(C20:AG20,"H")</f>
        <v/>
      </c>
      <c r="AI20" s="11">
        <f>COUNTIF(C20:AG20,"S")</f>
        <v/>
      </c>
      <c r="AJ20" s="11">
        <f>COUNTIF(C20:AG20,"T")</f>
        <v/>
      </c>
      <c r="AK20" s="11">
        <f>IF(ISNUMBER(B20),B20-AH20,"")</f>
        <v/>
      </c>
    </row>
    <row r="21">
      <c r="A21" s="9" t="inlineStr"/>
      <c r="B21" s="9" t="n"/>
      <c r="C21" s="10" t="n"/>
      <c r="D21" s="10" t="n"/>
      <c r="E21" s="10" t="n"/>
      <c r="F21" s="10" t="n"/>
      <c r="G21" s="10" t="n"/>
      <c r="H21" s="10" t="n"/>
      <c r="I21" s="10" t="n"/>
      <c r="J21" s="10" t="n"/>
      <c r="K21" s="10" t="n"/>
      <c r="L21" s="10" t="n"/>
      <c r="M21" s="10" t="n"/>
      <c r="N21" s="10" t="n"/>
      <c r="O21" s="10" t="n"/>
      <c r="P21" s="10" t="n"/>
      <c r="Q21" s="10" t="n"/>
      <c r="R21" s="10" t="n"/>
      <c r="S21" s="10" t="n"/>
      <c r="T21" s="10" t="n"/>
      <c r="U21" s="10" t="n"/>
      <c r="V21" s="10" t="n"/>
      <c r="W21" s="10" t="n"/>
      <c r="X21" s="10" t="n"/>
      <c r="Y21" s="10" t="n"/>
      <c r="Z21" s="10" t="n"/>
      <c r="AA21" s="10" t="n"/>
      <c r="AB21" s="10" t="n"/>
      <c r="AC21" s="10" t="n"/>
      <c r="AD21" s="10" t="n"/>
      <c r="AE21" s="10" t="n"/>
      <c r="AF21" s="10" t="n"/>
      <c r="AG21" s="10" t="n"/>
      <c r="AH21" s="11">
        <f>COUNTIF(C21:AG21,"H")</f>
        <v/>
      </c>
      <c r="AI21" s="11">
        <f>COUNTIF(C21:AG21,"S")</f>
        <v/>
      </c>
      <c r="AJ21" s="11">
        <f>COUNTIF(C21:AG21,"T")</f>
        <v/>
      </c>
      <c r="AK21" s="11">
        <f>IF(ISNUMBER(B21),B21-AH21,"")</f>
        <v/>
      </c>
    </row>
  </sheetData>
  <mergeCells count="1">
    <mergeCell ref="E7:T7"/>
  </mergeCells>
  <conditionalFormatting sqref="C10:AG21">
    <cfRule type="cellIs" priority="1" operator="equal" dxfId="0">
      <formula>"H"</formula>
    </cfRule>
    <cfRule type="cellIs" priority="2" operator="equal" dxfId="1">
      <formula>"S"</formula>
    </cfRule>
    <cfRule type="cellIs" priority="3" operator="equal" dxfId="2">
      <formula>"T"</formula>
    </cfRule>
    <cfRule type="cellIs" priority="4" operator="equal" dxfId="3">
      <formula>"B"</formula>
    </cfRule>
    <cfRule type="expression" priority="5" dxfId="4">
      <formula>AND(C$9&lt;&gt;"",WEEKDAY(C$9,2)&gt;5)</formula>
    </cfRule>
  </conditionalFormatting>
  <dataValidations count="1">
    <dataValidation sqref="C10:AG21" showDropDown="0" showInputMessage="1" showErrorMessage="1" allowBlank="1" errorTitle="Not on the list" error="Pick a value from the list." promptTitle="Pick one" prompt="H, S, T, W or B" type="list">
      <formula1>"H,S,T,W,B"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ClimbUK</dc:creator>
  <dc:title xmlns:dc="http://purl.org/dc/elements/1.1/">ClimbUK holiday and leave planner</dc:title>
  <dc:language xmlns:dc="http://purl.org/dc/elements/1.1/">en-GB</dc:language>
  <dcterms:created xmlns:dcterms="http://purl.org/dc/terms/" xmlns:xsi="http://www.w3.org/2001/XMLSchema-instance" xsi:type="dcterms:W3CDTF">2026-10-12T22:59:13Z</dcterms:created>
  <dcterms:modified xmlns:dcterms="http://purl.org/dc/terms/" xmlns:xsi="http://www.w3.org/2001/XMLSchema-instance" xsi:type="dcterms:W3CDTF">2026-10-12T22:59:13Z</dcterms:modified>
</cp:coreProperties>
</file>