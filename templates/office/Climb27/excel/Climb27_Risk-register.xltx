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isks" sheetId="1" state="visible" r:id="rId1"/>
  </sheets>
  <definedNames>
    <definedName name="_xlnm.Print_Titles" localSheetId="0">'Risks'!$7:$7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439775" cy="1343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isks" displayName="Risks" ref="A7:L15" headerRowCount="1">
  <autoFilter ref="A7:L15"/>
  <tableColumns count="12">
    <tableColumn id="1" name="ID"/>
    <tableColumn id="2" name="Risk"/>
    <tableColumn id="3" name="Category"/>
    <tableColumn id="4" name="Owner"/>
    <tableColumn id="5" name="Likelihood"/>
    <tableColumn id="6" name="Impact"/>
    <tableColumn id="7" name="Score"/>
    <tableColumn id="8" name="Band"/>
    <tableColumn id="9" name="Controls in place"/>
    <tableColumn id="10" name="Action"/>
    <tableColumn id="11" name="Status"/>
    <tableColumn id="12" name="Review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34" customWidth="1" min="2" max="2"/>
    <col width="14" customWidth="1" min="3" max="3"/>
    <col width="14" customWidth="1" min="4" max="4"/>
    <col width="11" customWidth="1" min="5" max="5"/>
    <col width="9" customWidth="1" min="6" max="6"/>
    <col width="8" customWidth="1" min="7" max="7"/>
    <col width="10" customWidth="1" min="8" max="8"/>
    <col width="32" customWidth="1" min="9" max="9"/>
    <col width="32" customWidth="1" min="10" max="10"/>
    <col width="12" customWidth="1" min="11" max="11"/>
    <col width="14" customWidth="1" min="12" max="12"/>
  </cols>
  <sheetData>
    <row r="1" ht="105.75" customHeight="1"/>
    <row r="3">
      <c r="A3" s="1" t="inlineStr">
        <is>
          <t>RISKS</t>
        </is>
      </c>
    </row>
    <row r="4" ht="30" customHeight="1">
      <c r="A4" s="2" t="inlineStr">
        <is>
          <t>RISK REGISTER</t>
        </is>
      </c>
    </row>
    <row r="5">
      <c r="A5" s="3" t="inlineStr">
        <is>
          <t>Score likelihood and impact 1 to 5. Score is the product: Low 1 to 4, Medium 5 to 9, High 10 to 15, Critical 16 to 25.</t>
        </is>
      </c>
    </row>
    <row r="7" ht="26" customHeight="1">
      <c r="A7" s="4" t="inlineStr">
        <is>
          <t>ID</t>
        </is>
      </c>
      <c r="B7" s="4" t="inlineStr">
        <is>
          <t>Risk</t>
        </is>
      </c>
      <c r="C7" s="4" t="inlineStr">
        <is>
          <t>Category</t>
        </is>
      </c>
      <c r="D7" s="4" t="inlineStr">
        <is>
          <t>Owner</t>
        </is>
      </c>
      <c r="E7" s="4" t="inlineStr">
        <is>
          <t>Likelihood</t>
        </is>
      </c>
      <c r="F7" s="4" t="inlineStr">
        <is>
          <t>Impact</t>
        </is>
      </c>
      <c r="G7" s="4" t="inlineStr">
        <is>
          <t>Score</t>
        </is>
      </c>
      <c r="H7" s="4" t="inlineStr">
        <is>
          <t>Band</t>
        </is>
      </c>
      <c r="I7" s="4" t="inlineStr">
        <is>
          <t>Controls in place</t>
        </is>
      </c>
      <c r="J7" s="4" t="inlineStr">
        <is>
          <t>Action</t>
        </is>
      </c>
      <c r="K7" s="4" t="inlineStr">
        <is>
          <t>Status</t>
        </is>
      </c>
      <c r="L7" s="4" t="inlineStr">
        <is>
          <t>Review date</t>
        </is>
      </c>
    </row>
    <row r="8">
      <c r="A8" s="5" t="n">
        <v>1</v>
      </c>
      <c r="B8" s="5" t="inlineStr">
        <is>
          <t>[Risk]</t>
        </is>
      </c>
      <c r="C8" s="5" t="inlineStr">
        <is>
          <t>Delivery</t>
        </is>
      </c>
      <c r="D8" s="5" t="inlineStr">
        <is>
          <t>[Name]</t>
        </is>
      </c>
      <c r="E8" s="5" t="n">
        <v>3</v>
      </c>
      <c r="F8" s="5" t="n">
        <v>3</v>
      </c>
      <c r="G8" s="5">
        <f>IF(AND(ISNUMBER(E8),ISNUMBER(F8)),E8*F8,"")</f>
        <v/>
      </c>
      <c r="H8" s="5">
        <f>IF(G8="","",IF(G8&gt;=16,"Critical",IF(G8&gt;=10,"High",IF(G8&gt;=5,"Medium","Low"))))</f>
        <v/>
      </c>
      <c r="I8" s="5" t="inlineStr">
        <is>
          <t>[What is in place]</t>
        </is>
      </c>
      <c r="J8" s="5" t="inlineStr">
        <is>
          <t>[What we will do]</t>
        </is>
      </c>
      <c r="K8" s="5" t="inlineStr">
        <is>
          <t>Open</t>
        </is>
      </c>
      <c r="L8" s="6" t="n"/>
    </row>
    <row r="9">
      <c r="A9" s="5" t="n">
        <v>2</v>
      </c>
      <c r="B9" s="5" t="inlineStr"/>
      <c r="C9" s="5" t="inlineStr"/>
      <c r="D9" s="5" t="inlineStr"/>
      <c r="E9" s="5" t="n"/>
      <c r="F9" s="5" t="n"/>
      <c r="G9" s="5">
        <f>IF(AND(ISNUMBER(E9),ISNUMBER(F9)),E9*F9,"")</f>
        <v/>
      </c>
      <c r="H9" s="5">
        <f>IF(G9="","",IF(G9&gt;=16,"Critical",IF(G9&gt;=10,"High",IF(G9&gt;=5,"Medium","Low"))))</f>
        <v/>
      </c>
      <c r="I9" s="5" t="inlineStr"/>
      <c r="J9" s="5" t="inlineStr"/>
      <c r="K9" s="5" t="inlineStr"/>
      <c r="L9" s="6" t="n"/>
    </row>
    <row r="10">
      <c r="A10" s="5" t="n">
        <v>3</v>
      </c>
      <c r="B10" s="5" t="inlineStr"/>
      <c r="C10" s="5" t="inlineStr"/>
      <c r="D10" s="5" t="inlineStr"/>
      <c r="E10" s="5" t="n"/>
      <c r="F10" s="5" t="n"/>
      <c r="G10" s="5">
        <f>IF(AND(ISNUMBER(E10),ISNUMBER(F10)),E10*F10,"")</f>
        <v/>
      </c>
      <c r="H10" s="5">
        <f>IF(G10="","",IF(G10&gt;=16,"Critical",IF(G10&gt;=10,"High",IF(G10&gt;=5,"Medium","Low"))))</f>
        <v/>
      </c>
      <c r="I10" s="5" t="inlineStr"/>
      <c r="J10" s="5" t="inlineStr"/>
      <c r="K10" s="5" t="inlineStr"/>
      <c r="L10" s="6" t="n"/>
    </row>
    <row r="11">
      <c r="A11" s="5" t="n">
        <v>4</v>
      </c>
      <c r="B11" s="5" t="inlineStr"/>
      <c r="C11" s="5" t="inlineStr"/>
      <c r="D11" s="5" t="inlineStr"/>
      <c r="E11" s="5" t="n"/>
      <c r="F11" s="5" t="n"/>
      <c r="G11" s="5">
        <f>IF(AND(ISNUMBER(E11),ISNUMBER(F11)),E11*F11,"")</f>
        <v/>
      </c>
      <c r="H11" s="5">
        <f>IF(G11="","",IF(G11&gt;=16,"Critical",IF(G11&gt;=10,"High",IF(G11&gt;=5,"Medium","Low"))))</f>
        <v/>
      </c>
      <c r="I11" s="5" t="inlineStr"/>
      <c r="J11" s="5" t="inlineStr"/>
      <c r="K11" s="5" t="inlineStr"/>
      <c r="L11" s="6" t="n"/>
    </row>
    <row r="12">
      <c r="A12" s="5" t="n">
        <v>5</v>
      </c>
      <c r="B12" s="5" t="inlineStr"/>
      <c r="C12" s="5" t="inlineStr"/>
      <c r="D12" s="5" t="inlineStr"/>
      <c r="E12" s="5" t="n"/>
      <c r="F12" s="5" t="n"/>
      <c r="G12" s="5">
        <f>IF(AND(ISNUMBER(E12),ISNUMBER(F12)),E12*F12,"")</f>
        <v/>
      </c>
      <c r="H12" s="5">
        <f>IF(G12="","",IF(G12&gt;=16,"Critical",IF(G12&gt;=10,"High",IF(G12&gt;=5,"Medium","Low"))))</f>
        <v/>
      </c>
      <c r="I12" s="5" t="inlineStr"/>
      <c r="J12" s="5" t="inlineStr"/>
      <c r="K12" s="5" t="inlineStr"/>
      <c r="L12" s="6" t="n"/>
    </row>
    <row r="13">
      <c r="A13" s="5" t="n">
        <v>6</v>
      </c>
      <c r="B13" s="5" t="inlineStr"/>
      <c r="C13" s="5" t="inlineStr"/>
      <c r="D13" s="5" t="inlineStr"/>
      <c r="E13" s="5" t="n"/>
      <c r="F13" s="5" t="n"/>
      <c r="G13" s="5">
        <f>IF(AND(ISNUMBER(E13),ISNUMBER(F13)),E13*F13,"")</f>
        <v/>
      </c>
      <c r="H13" s="5">
        <f>IF(G13="","",IF(G13&gt;=16,"Critical",IF(G13&gt;=10,"High",IF(G13&gt;=5,"Medium","Low"))))</f>
        <v/>
      </c>
      <c r="I13" s="5" t="inlineStr"/>
      <c r="J13" s="5" t="inlineStr"/>
      <c r="K13" s="5" t="inlineStr"/>
      <c r="L13" s="6" t="n"/>
    </row>
    <row r="14">
      <c r="A14" s="5" t="n">
        <v>7</v>
      </c>
      <c r="B14" s="5" t="inlineStr"/>
      <c r="C14" s="5" t="inlineStr"/>
      <c r="D14" s="5" t="inlineStr"/>
      <c r="E14" s="5" t="n"/>
      <c r="F14" s="5" t="n"/>
      <c r="G14" s="5">
        <f>IF(AND(ISNUMBER(E14),ISNUMBER(F14)),E14*F14,"")</f>
        <v/>
      </c>
      <c r="H14" s="5">
        <f>IF(G14="","",IF(G14&gt;=16,"Critical",IF(G14&gt;=10,"High",IF(G14&gt;=5,"Medium","Low"))))</f>
        <v/>
      </c>
      <c r="I14" s="5" t="inlineStr"/>
      <c r="J14" s="5" t="inlineStr"/>
      <c r="K14" s="5" t="inlineStr"/>
      <c r="L14" s="6" t="n"/>
    </row>
    <row r="15">
      <c r="A15" s="5" t="n">
        <v>8</v>
      </c>
      <c r="B15" s="5" t="inlineStr"/>
      <c r="C15" s="5" t="inlineStr"/>
      <c r="D15" s="5" t="inlineStr"/>
      <c r="E15" s="5" t="n"/>
      <c r="F15" s="5" t="n"/>
      <c r="G15" s="5">
        <f>IF(AND(ISNUMBER(E15),ISNUMBER(F15)),E15*F15,"")</f>
        <v/>
      </c>
      <c r="H15" s="5">
        <f>IF(G15="","",IF(G15&gt;=16,"Critical",IF(G15&gt;=10,"High",IF(G15&gt;=5,"Medium","Low"))))</f>
        <v/>
      </c>
      <c r="I15" s="5" t="inlineStr"/>
      <c r="J15" s="5" t="inlineStr"/>
      <c r="K15" s="5" t="inlineStr"/>
      <c r="L15" s="6" t="n"/>
    </row>
  </sheetData>
  <conditionalFormatting sqref="H8:H215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dataValidations count="4">
    <dataValidation sqref="C8:C215" showDropDown="0" showInputMessage="1" showErrorMessage="1" allowBlank="1" errorTitle="Not on the list" error="Pick a value from the list." promptTitle="Pick one" prompt="What kind of risk" type="list">
      <formula1>"Delivery,Finance,People,Legal,Reputation,Safety,Technology"</formula1>
    </dataValidation>
    <dataValidation sqref="E8:E215" showDropDown="0" showInputMessage="1" showErrorMessage="1" allowBlank="1" errorTitle="Not on the list" error="Pick a value from the list." promptTitle="Pick one" prompt="1 rare to 5 almost certain" type="list">
      <formula1>"1,2,3,4,5"</formula1>
    </dataValidation>
    <dataValidation sqref="F8:F215" showDropDown="0" showInputMessage="1" showErrorMessage="1" allowBlank="1" errorTitle="Not on the list" error="Pick a value from the list." promptTitle="Pick one" prompt="1 minor to 5 severe" type="list">
      <formula1>"1,2,3,4,5"</formula1>
    </dataValidation>
    <dataValidation sqref="K8:K215" showDropDown="0" showInputMessage="1" showErrorMessage="1" allowBlank="1" errorTitle="Not on the list" error="Pick a value from the list." promptTitle="Pick one" prompt="Where it is up to" type="list">
      <formula1>"Open,Monitoring,Closed"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risk register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