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Critical path" sheetId="1" state="visible" r:id="rId1"/>
    <sheet xmlns:r="http://schemas.openxmlformats.org/officeDocument/2006/relationships" name="Milestones" sheetId="2" state="visible" r:id="rId2"/>
  </sheets>
  <definedNames>
    <definedName name="_xlnm.Print_Titles" localSheetId="0">'Critical path'!$9:$9</definedName>
    <definedName name="_xlnm.Print_Titles" localSheetId="1">'Milestones'!$7:$7</definedName>
  </definedNames>
  <calcPr calcId="124519" fullCalcOnLoad="1"/>
</workbook>
</file>

<file path=xl/styles.xml><?xml version="1.0" encoding="utf-8"?>
<styleSheet xmlns="http://schemas.openxmlformats.org/spreadsheetml/2006/main">
  <numFmts count="3">
    <numFmt numFmtId="164" formatCode="yyyy-mm-dd"/>
    <numFmt numFmtId="165" formatCode="ddd d mmm yyyy"/>
    <numFmt numFmtId="166" formatCode="d mmm"/>
  </numFmts>
  <fonts count="8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242322"/>
      <sz val="9"/>
    </font>
    <font>
      <name val="Montserrat"/>
      <b val="1"/>
      <color rgb="00FFFFFF"/>
      <sz val="9"/>
    </font>
    <font>
      <name val="Montserrat"/>
      <b val="1"/>
      <color rgb="00242322"/>
      <sz val="10"/>
    </font>
  </fonts>
  <fills count="4">
    <fill>
      <patternFill/>
    </fill>
    <fill>
      <patternFill patternType="gray125"/>
    </fill>
    <fill>
      <patternFill patternType="solid">
        <fgColor rgb="00E9E9E9"/>
      </patternFill>
    </fill>
    <fill>
      <patternFill patternType="solid">
        <fgColor rgb="001E0F05"/>
      </patternFill>
    </fill>
  </fills>
  <borders count="1">
    <border>
      <left/>
      <right/>
      <top/>
      <bottom/>
      <diagonal/>
    </border>
  </borders>
  <cellStyleXfs count="1">
    <xf numFmtId="0" fontId="1" fillId="0" borderId="0"/>
  </cellStyleXfs>
  <cellXfs count="12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0" borderId="0" applyAlignment="1" pivotButton="0" quotePrefix="0" xfId="0">
      <alignment vertical="top"/>
    </xf>
    <xf numFmtId="165" fontId="1" fillId="2" borderId="0" applyAlignment="1" pivotButton="0" quotePrefix="0" xfId="0">
      <alignment vertical="top" wrapText="1"/>
    </xf>
    <xf numFmtId="0" fontId="6" fillId="3" borderId="0" applyAlignment="1" pivotButton="0" quotePrefix="0" xfId="0">
      <alignment vertical="center" wrapText="1"/>
    </xf>
    <xf numFmtId="0" fontId="7" fillId="0" borderId="0" applyAlignment="1" pivotButton="0" quotePrefix="0" xfId="0">
      <alignment horizontal="center" vertical="top" wrapText="1"/>
    </xf>
    <xf numFmtId="166" fontId="1" fillId="0" borderId="0" applyAlignment="1" pivotButton="0" quotePrefix="0" xfId="0">
      <alignment vertical="top" wrapText="1"/>
    </xf>
    <xf numFmtId="0" fontId="1" fillId="2" borderId="0" applyAlignment="1" pivotButton="0" quotePrefix="0" xfId="0">
      <alignment vertical="top" wrapText="1"/>
    </xf>
    <xf numFmtId="0" fontId="1" fillId="0" borderId="0" applyAlignment="1" pivotButton="0" quotePrefix="0" xfId="0">
      <alignment vertical="top" wrapText="1"/>
    </xf>
    <xf numFmtId="165" fontId="1" fillId="0" borderId="0" applyAlignment="1" pivotButton="0" quotePrefix="0" xfId="0">
      <alignment vertical="top" wrapText="1"/>
    </xf>
  </cellXfs>
  <cellStyles count="1">
    <cellStyle name="Normal" xfId="0" builtinId="0" hidden="0"/>
  </cellStyles>
  <dxfs count="1">
    <dxf>
      <font>
        <b val="1"/>
        <color rgb="001E0F05"/>
      </font>
      <fill>
        <patternFill patternType="solid">
          <fgColor rgb="00F2AE86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_rels/drawing2.xml.rels><Relationships xmlns="http://schemas.openxmlformats.org/package/2006/relationships"><Relationship Type="http://schemas.openxmlformats.org/officeDocument/2006/relationships/image" Target="/xl/media/image2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13849350" cy="1381125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2.xml><?xml version="1.0" encoding="utf-8"?>
<wsDr xmlns="http://schemas.openxmlformats.org/drawingml/2006/spreadsheetDrawing">
  <oneCellAnchor>
    <from>
      <col>0</col>
      <colOff>0</colOff>
      <row>0</row>
      <rowOff>0</rowOff>
    </from>
    <ext cx="7810500" cy="78105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ables/table1.xml><?xml version="1.0" encoding="utf-8"?>
<table xmlns="http://schemas.openxmlformats.org/spreadsheetml/2006/main" id="1" name="Milestones" displayName="Milestones" ref="A7:F10" headerRowCount="1">
  <autoFilter ref="A7:F10"/>
  <tableColumns count="6">
    <tableColumn id="1" name="Weeks to go"/>
    <tableColumn id="2" name="Date"/>
    <tableColumn id="3" name="Workstream"/>
    <tableColumn id="4" name="Milestone"/>
    <tableColumn id="5" name="Owner"/>
    <tableColumn id="6" name="Status"/>
  </tableColumns>
  <tableStyleInfo name="TableStyleLight1" showRowStripes="1" showColumnStripes="0"/>
</table>
</file>

<file path=xl/theme/theme1.xml><?xml version="1.0" encoding="utf-8"?>
<a:theme xmlns:a="http://schemas.openxmlformats.org/drawingml/2006/main" name="Climb27">
  <a:themeElements>
    <a:clrScheme name="Climb27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27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K37"/>
  <sheetViews>
    <sheetView showGridLines="0" workbookViewId="0">
      <pane xSplit="2" ySplit="9" topLeftCell="C10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0" customWidth="1" min="1" max="1"/>
    <col width="12" customWidth="1" min="2" max="2"/>
    <col width="20" customWidth="1" min="3" max="3"/>
    <col width="20" customWidth="1" min="4" max="4"/>
    <col width="20" customWidth="1" min="5" max="5"/>
    <col width="20" customWidth="1" min="6" max="6"/>
    <col width="20" customWidth="1" min="7" max="7"/>
    <col width="20" customWidth="1" min="8" max="8"/>
    <col width="20" customWidth="1" min="9" max="9"/>
    <col width="20" customWidth="1" min="10" max="10"/>
    <col width="20" customWidth="1" min="11" max="11"/>
  </cols>
  <sheetData>
    <row r="1" ht="108.75" customHeight="1"/>
    <row r="3">
      <c r="A3" s="1" t="inlineStr">
        <is>
          <t>CRITICAL PATH</t>
        </is>
      </c>
    </row>
    <row r="4" ht="30" customHeight="1">
      <c r="A4" s="2" t="inlineStr">
        <is>
          <t>PRODUCTION CRITICAL PATH</t>
        </is>
      </c>
    </row>
    <row r="5">
      <c r="A5" s="3" t="inlineStr">
        <is>
          <t>Weeks to the event down the side, workstreams across. Set the event date; the week dates follow.</t>
        </is>
      </c>
    </row>
    <row r="7">
      <c r="A7" s="4" t="inlineStr">
        <is>
          <t>Event date</t>
        </is>
      </c>
      <c r="B7" s="5" t="n">
        <v>46568</v>
      </c>
    </row>
    <row r="9" ht="30" customHeight="1">
      <c r="A9" s="6" t="inlineStr">
        <is>
          <t>Weeks to go</t>
        </is>
      </c>
      <c r="B9" s="6" t="inlineStr">
        <is>
          <t>Week of</t>
        </is>
      </c>
      <c r="C9" s="6" t="inlineStr">
        <is>
          <t>Site</t>
        </is>
      </c>
      <c r="D9" s="6" t="inlineStr">
        <is>
          <t>Agenda</t>
        </is>
      </c>
      <c r="E9" s="6" t="inlineStr">
        <is>
          <t>Partners</t>
        </is>
      </c>
      <c r="F9" s="6" t="inlineStr">
        <is>
          <t>Exhibitors</t>
        </is>
      </c>
      <c r="G9" s="6" t="inlineStr">
        <is>
          <t>Marketing</t>
        </is>
      </c>
      <c r="H9" s="6" t="inlineStr">
        <is>
          <t>Ticketing</t>
        </is>
      </c>
      <c r="I9" s="6" t="inlineStr">
        <is>
          <t>Production</t>
        </is>
      </c>
      <c r="J9" s="6" t="inlineStr">
        <is>
          <t>Staffing</t>
        </is>
      </c>
      <c r="K9" s="6" t="inlineStr">
        <is>
          <t>Health and safety</t>
        </is>
      </c>
    </row>
    <row r="10">
      <c r="A10" s="7" t="n">
        <v>26</v>
      </c>
      <c r="B10" s="8">
        <f>$B$7-7*26</f>
        <v/>
      </c>
      <c r="C10" s="9" t="inlineStr">
        <is>
          <t>Site confirmed and contract signed</t>
        </is>
      </c>
      <c r="D10" s="9" t="inlineStr">
        <is>
          <t>Theme and formats agreed</t>
        </is>
      </c>
      <c r="E10" s="9" t="inlineStr"/>
      <c r="F10" s="9" t="inlineStr"/>
      <c r="G10" s="9" t="inlineStr">
        <is>
          <t>Launch campaign live</t>
        </is>
      </c>
      <c r="H10" s="9" t="inlineStr">
        <is>
          <t>First release on sale</t>
        </is>
      </c>
      <c r="I10" s="9" t="inlineStr"/>
      <c r="J10" s="9" t="inlineStr"/>
      <c r="K10" s="9" t="inlineStr"/>
    </row>
    <row r="11">
      <c r="A11" s="7" t="n">
        <v>25</v>
      </c>
      <c r="B11" s="8">
        <f>$B$7-7*25</f>
        <v/>
      </c>
      <c r="C11" s="9" t="inlineStr"/>
      <c r="D11" s="9" t="inlineStr"/>
      <c r="E11" s="9" t="inlineStr"/>
      <c r="F11" s="9" t="inlineStr"/>
      <c r="G11" s="9" t="inlineStr"/>
      <c r="H11" s="9" t="inlineStr"/>
      <c r="I11" s="9" t="inlineStr"/>
      <c r="J11" s="9" t="inlineStr"/>
      <c r="K11" s="9" t="inlineStr"/>
    </row>
    <row r="12">
      <c r="A12" s="7" t="n">
        <v>24</v>
      </c>
      <c r="B12" s="8">
        <f>$B$7-7*24</f>
        <v/>
      </c>
      <c r="C12" s="9" t="inlineStr"/>
      <c r="D12" s="9" t="inlineStr"/>
      <c r="E12" s="9" t="inlineStr"/>
      <c r="F12" s="9" t="inlineStr"/>
      <c r="G12" s="9" t="inlineStr"/>
      <c r="H12" s="9" t="inlineStr"/>
      <c r="I12" s="9" t="inlineStr"/>
      <c r="J12" s="9" t="inlineStr"/>
      <c r="K12" s="9" t="inlineStr"/>
    </row>
    <row r="13">
      <c r="A13" s="7" t="n">
        <v>23</v>
      </c>
      <c r="B13" s="8">
        <f>$B$7-7*23</f>
        <v/>
      </c>
      <c r="C13" s="9" t="inlineStr"/>
      <c r="D13" s="9" t="inlineStr"/>
      <c r="E13" s="9" t="inlineStr"/>
      <c r="F13" s="9" t="inlineStr"/>
      <c r="G13" s="9" t="inlineStr"/>
      <c r="H13" s="9" t="inlineStr"/>
      <c r="I13" s="9" t="inlineStr"/>
      <c r="J13" s="9" t="inlineStr"/>
      <c r="K13" s="9" t="inlineStr"/>
    </row>
    <row r="14">
      <c r="A14" s="7" t="n">
        <v>22</v>
      </c>
      <c r="B14" s="8">
        <f>$B$7-7*22</f>
        <v/>
      </c>
      <c r="C14" s="9" t="inlineStr"/>
      <c r="D14" s="9" t="inlineStr"/>
      <c r="E14" s="9" t="inlineStr"/>
      <c r="F14" s="9" t="inlineStr"/>
      <c r="G14" s="9" t="inlineStr"/>
      <c r="H14" s="9" t="inlineStr"/>
      <c r="I14" s="9" t="inlineStr"/>
      <c r="J14" s="9" t="inlineStr"/>
      <c r="K14" s="9" t="inlineStr"/>
    </row>
    <row r="15">
      <c r="A15" s="7" t="n">
        <v>21</v>
      </c>
      <c r="B15" s="8">
        <f>$B$7-7*21</f>
        <v/>
      </c>
      <c r="C15" s="9" t="inlineStr"/>
      <c r="D15" s="9" t="inlineStr"/>
      <c r="E15" s="9" t="inlineStr"/>
      <c r="F15" s="9" t="inlineStr"/>
      <c r="G15" s="9" t="inlineStr"/>
      <c r="H15" s="9" t="inlineStr"/>
      <c r="I15" s="9" t="inlineStr"/>
      <c r="J15" s="9" t="inlineStr"/>
      <c r="K15" s="9" t="inlineStr"/>
    </row>
    <row r="16">
      <c r="A16" s="7" t="n">
        <v>20</v>
      </c>
      <c r="B16" s="8">
        <f>$B$7-7*20</f>
        <v/>
      </c>
      <c r="C16" s="9" t="inlineStr"/>
      <c r="D16" s="9" t="inlineStr">
        <is>
          <t>Speaker invitations out</t>
        </is>
      </c>
      <c r="E16" s="9" t="inlineStr">
        <is>
          <t>Partner prospectus out</t>
        </is>
      </c>
      <c r="F16" s="9" t="inlineStr"/>
      <c r="G16" s="9" t="inlineStr"/>
      <c r="H16" s="9" t="inlineStr"/>
      <c r="I16" s="9" t="inlineStr"/>
      <c r="J16" s="9" t="inlineStr"/>
      <c r="K16" s="9" t="inlineStr"/>
    </row>
    <row r="17">
      <c r="A17" s="7" t="n">
        <v>19</v>
      </c>
      <c r="B17" s="8">
        <f>$B$7-7*19</f>
        <v/>
      </c>
      <c r="C17" s="9" t="inlineStr"/>
      <c r="D17" s="9" t="inlineStr"/>
      <c r="E17" s="9" t="inlineStr"/>
      <c r="F17" s="9" t="inlineStr"/>
      <c r="G17" s="9" t="inlineStr"/>
      <c r="H17" s="9" t="inlineStr"/>
      <c r="I17" s="9" t="inlineStr"/>
      <c r="J17" s="9" t="inlineStr"/>
      <c r="K17" s="9" t="inlineStr"/>
    </row>
    <row r="18">
      <c r="A18" s="7" t="n">
        <v>18</v>
      </c>
      <c r="B18" s="8">
        <f>$B$7-7*18</f>
        <v/>
      </c>
      <c r="C18" s="9" t="inlineStr"/>
      <c r="D18" s="9" t="inlineStr"/>
      <c r="E18" s="9" t="inlineStr"/>
      <c r="F18" s="9" t="inlineStr"/>
      <c r="G18" s="9" t="inlineStr"/>
      <c r="H18" s="9" t="inlineStr"/>
      <c r="I18" s="9" t="inlineStr"/>
      <c r="J18" s="9" t="inlineStr"/>
      <c r="K18" s="9" t="inlineStr"/>
    </row>
    <row r="19">
      <c r="A19" s="7" t="n">
        <v>17</v>
      </c>
      <c r="B19" s="8">
        <f>$B$7-7*17</f>
        <v/>
      </c>
      <c r="C19" s="9" t="inlineStr"/>
      <c r="D19" s="9" t="inlineStr"/>
      <c r="E19" s="9" t="inlineStr"/>
      <c r="F19" s="9" t="inlineStr"/>
      <c r="G19" s="9" t="inlineStr"/>
      <c r="H19" s="9" t="inlineStr"/>
      <c r="I19" s="9" t="inlineStr"/>
      <c r="J19" s="9" t="inlineStr"/>
      <c r="K19" s="9" t="inlineStr"/>
    </row>
    <row r="20">
      <c r="A20" s="7" t="n">
        <v>16</v>
      </c>
      <c r="B20" s="8">
        <f>$B$7-7*16</f>
        <v/>
      </c>
      <c r="C20" s="9" t="inlineStr"/>
      <c r="D20" s="9" t="inlineStr"/>
      <c r="E20" s="9" t="inlineStr"/>
      <c r="F20" s="9" t="inlineStr">
        <is>
          <t>Exhibitor sales open</t>
        </is>
      </c>
      <c r="G20" s="9" t="inlineStr"/>
      <c r="H20" s="9" t="inlineStr"/>
      <c r="I20" s="9" t="inlineStr">
        <is>
          <t>Stage and AV quotes in</t>
        </is>
      </c>
      <c r="J20" s="9" t="inlineStr"/>
      <c r="K20" s="9" t="inlineStr"/>
    </row>
    <row r="21">
      <c r="A21" s="7" t="n">
        <v>15</v>
      </c>
      <c r="B21" s="8">
        <f>$B$7-7*15</f>
        <v/>
      </c>
      <c r="C21" s="9" t="inlineStr"/>
      <c r="D21" s="9" t="inlineStr"/>
      <c r="E21" s="9" t="inlineStr"/>
      <c r="F21" s="9" t="inlineStr"/>
      <c r="G21" s="9" t="inlineStr"/>
      <c r="H21" s="9" t="inlineStr"/>
      <c r="I21" s="9" t="inlineStr"/>
      <c r="J21" s="9" t="inlineStr"/>
      <c r="K21" s="9" t="inlineStr"/>
    </row>
    <row r="22">
      <c r="A22" s="7" t="n">
        <v>14</v>
      </c>
      <c r="B22" s="8">
        <f>$B$7-7*14</f>
        <v/>
      </c>
      <c r="C22" s="9" t="inlineStr"/>
      <c r="D22" s="9" t="inlineStr"/>
      <c r="E22" s="9" t="inlineStr"/>
      <c r="F22" s="9" t="inlineStr"/>
      <c r="G22" s="9" t="inlineStr"/>
      <c r="H22" s="9" t="inlineStr"/>
      <c r="I22" s="9" t="inlineStr"/>
      <c r="J22" s="9" t="inlineStr"/>
      <c r="K22" s="9" t="inlineStr"/>
    </row>
    <row r="23">
      <c r="A23" s="7" t="n">
        <v>13</v>
      </c>
      <c r="B23" s="8">
        <f>$B$7-7*13</f>
        <v/>
      </c>
      <c r="C23" s="9" t="inlineStr"/>
      <c r="D23" s="9" t="inlineStr"/>
      <c r="E23" s="9" t="inlineStr"/>
      <c r="F23" s="9" t="inlineStr"/>
      <c r="G23" s="9" t="inlineStr"/>
      <c r="H23" s="9" t="inlineStr"/>
      <c r="I23" s="9" t="inlineStr"/>
      <c r="J23" s="9" t="inlineStr"/>
      <c r="K23" s="9" t="inlineStr"/>
    </row>
    <row r="24">
      <c r="A24" s="7" t="n">
        <v>12</v>
      </c>
      <c r="B24" s="8">
        <f>$B$7-7*12</f>
        <v/>
      </c>
      <c r="C24" s="9" t="inlineStr"/>
      <c r="D24" s="9" t="inlineStr">
        <is>
          <t>Agenda live on the website</t>
        </is>
      </c>
      <c r="E24" s="9" t="inlineStr">
        <is>
          <t>Headline partner signed</t>
        </is>
      </c>
      <c r="F24" s="9" t="inlineStr"/>
      <c r="G24" s="9" t="inlineStr"/>
      <c r="H24" s="9" t="inlineStr">
        <is>
          <t>Second release</t>
        </is>
      </c>
      <c r="I24" s="9" t="inlineStr"/>
      <c r="J24" s="9" t="inlineStr"/>
      <c r="K24" s="9" t="inlineStr"/>
    </row>
    <row r="25">
      <c r="A25" s="7" t="n">
        <v>11</v>
      </c>
      <c r="B25" s="8">
        <f>$B$7-7*11</f>
        <v/>
      </c>
      <c r="C25" s="9" t="inlineStr"/>
      <c r="D25" s="9" t="inlineStr"/>
      <c r="E25" s="9" t="inlineStr"/>
      <c r="F25" s="9" t="inlineStr"/>
      <c r="G25" s="9" t="inlineStr"/>
      <c r="H25" s="9" t="inlineStr"/>
      <c r="I25" s="9" t="inlineStr"/>
      <c r="J25" s="9" t="inlineStr"/>
      <c r="K25" s="9" t="inlineStr"/>
    </row>
    <row r="26">
      <c r="A26" s="7" t="n">
        <v>10</v>
      </c>
      <c r="B26" s="8">
        <f>$B$7-7*10</f>
        <v/>
      </c>
      <c r="C26" s="9" t="inlineStr"/>
      <c r="D26" s="9" t="inlineStr"/>
      <c r="E26" s="9" t="inlineStr"/>
      <c r="F26" s="9" t="inlineStr"/>
      <c r="G26" s="9" t="inlineStr"/>
      <c r="H26" s="9" t="inlineStr"/>
      <c r="I26" s="9" t="inlineStr"/>
      <c r="J26" s="9" t="inlineStr">
        <is>
          <t>Crew and volunteers recruited</t>
        </is>
      </c>
      <c r="K26" s="9" t="inlineStr"/>
    </row>
    <row r="27">
      <c r="A27" s="7" t="n">
        <v>9</v>
      </c>
      <c r="B27" s="8">
        <f>$B$7-7*9</f>
        <v/>
      </c>
      <c r="C27" s="9" t="inlineStr"/>
      <c r="D27" s="9" t="inlineStr"/>
      <c r="E27" s="9" t="inlineStr"/>
      <c r="F27" s="9" t="inlineStr"/>
      <c r="G27" s="9" t="inlineStr"/>
      <c r="H27" s="9" t="inlineStr"/>
      <c r="I27" s="9" t="inlineStr"/>
      <c r="J27" s="9" t="inlineStr"/>
      <c r="K27" s="9" t="inlineStr"/>
    </row>
    <row r="28">
      <c r="A28" s="7" t="n">
        <v>8</v>
      </c>
      <c r="B28" s="8">
        <f>$B$7-7*8</f>
        <v/>
      </c>
      <c r="C28" s="9" t="inlineStr"/>
      <c r="D28" s="9" t="inlineStr"/>
      <c r="E28" s="9" t="inlineStr"/>
      <c r="F28" s="9" t="inlineStr">
        <is>
          <t>Exhibitor manual sent</t>
        </is>
      </c>
      <c r="G28" s="9" t="inlineStr"/>
      <c r="H28" s="9" t="inlineStr"/>
      <c r="I28" s="9" t="inlineStr"/>
      <c r="J28" s="9" t="inlineStr"/>
      <c r="K28" s="9" t="inlineStr">
        <is>
          <t>Risk assessment issued</t>
        </is>
      </c>
    </row>
    <row r="29">
      <c r="A29" s="7" t="n">
        <v>7</v>
      </c>
      <c r="B29" s="8">
        <f>$B$7-7*7</f>
        <v/>
      </c>
      <c r="C29" s="9" t="inlineStr"/>
      <c r="D29" s="9" t="inlineStr"/>
      <c r="E29" s="9" t="inlineStr"/>
      <c r="F29" s="9" t="inlineStr"/>
      <c r="G29" s="9" t="inlineStr"/>
      <c r="H29" s="9" t="inlineStr"/>
      <c r="I29" s="9" t="inlineStr"/>
      <c r="J29" s="9" t="inlineStr"/>
      <c r="K29" s="9" t="inlineStr"/>
    </row>
    <row r="30">
      <c r="A30" s="7" t="n">
        <v>6</v>
      </c>
      <c r="B30" s="8">
        <f>$B$7-7*6</f>
        <v/>
      </c>
      <c r="C30" s="9" t="inlineStr"/>
      <c r="D30" s="9" t="inlineStr"/>
      <c r="E30" s="9" t="inlineStr"/>
      <c r="F30" s="9" t="inlineStr"/>
      <c r="G30" s="9" t="inlineStr">
        <is>
          <t>Final push starts</t>
        </is>
      </c>
      <c r="H30" s="9" t="inlineStr"/>
      <c r="I30" s="9" t="inlineStr">
        <is>
          <t>Production schedule signed off</t>
        </is>
      </c>
      <c r="J30" s="9" t="inlineStr"/>
      <c r="K30" s="9" t="inlineStr"/>
    </row>
    <row r="31">
      <c r="A31" s="7" t="n">
        <v>5</v>
      </c>
      <c r="B31" s="8">
        <f>$B$7-7*5</f>
        <v/>
      </c>
      <c r="C31" s="9" t="inlineStr"/>
      <c r="D31" s="9" t="inlineStr"/>
      <c r="E31" s="9" t="inlineStr"/>
      <c r="F31" s="9" t="inlineStr"/>
      <c r="G31" s="9" t="inlineStr"/>
      <c r="H31" s="9" t="inlineStr"/>
      <c r="I31" s="9" t="inlineStr"/>
      <c r="J31" s="9" t="inlineStr"/>
      <c r="K31" s="9" t="inlineStr"/>
    </row>
    <row r="32">
      <c r="A32" s="7" t="n">
        <v>4</v>
      </c>
      <c r="B32" s="8">
        <f>$B$7-7*4</f>
        <v/>
      </c>
      <c r="C32" s="9" t="inlineStr"/>
      <c r="D32" s="9" t="inlineStr">
        <is>
          <t>Speaker briefs sent</t>
        </is>
      </c>
      <c r="E32" s="9" t="inlineStr"/>
      <c r="F32" s="9" t="inlineStr">
        <is>
          <t>Forms deadline</t>
        </is>
      </c>
      <c r="G32" s="9" t="inlineStr"/>
      <c r="H32" s="9" t="inlineStr"/>
      <c r="I32" s="9" t="inlineStr"/>
      <c r="J32" s="9" t="inlineStr"/>
      <c r="K32" s="9" t="inlineStr">
        <is>
          <t>Supplier RAMS in</t>
        </is>
      </c>
    </row>
    <row r="33">
      <c r="A33" s="7" t="n">
        <v>3</v>
      </c>
      <c r="B33" s="8">
        <f>$B$7-7*3</f>
        <v/>
      </c>
      <c r="C33" s="9" t="inlineStr"/>
      <c r="D33" s="9" t="inlineStr"/>
      <c r="E33" s="9" t="inlineStr"/>
      <c r="F33" s="9" t="inlineStr"/>
      <c r="G33" s="9" t="inlineStr"/>
      <c r="H33" s="9" t="inlineStr"/>
      <c r="I33" s="9" t="inlineStr"/>
      <c r="J33" s="9" t="inlineStr"/>
      <c r="K33" s="9" t="inlineStr"/>
    </row>
    <row r="34">
      <c r="A34" s="7" t="n">
        <v>2</v>
      </c>
      <c r="B34" s="8">
        <f>$B$7-7*2</f>
        <v/>
      </c>
      <c r="C34" s="9" t="inlineStr"/>
      <c r="D34" s="9" t="inlineStr"/>
      <c r="E34" s="9" t="inlineStr"/>
      <c r="F34" s="9" t="inlineStr"/>
      <c r="G34" s="9" t="inlineStr"/>
      <c r="H34" s="9" t="inlineStr">
        <is>
          <t>Final release closes</t>
        </is>
      </c>
      <c r="I34" s="9" t="inlineStr">
        <is>
          <t>Run sheet locked</t>
        </is>
      </c>
      <c r="J34" s="9" t="inlineStr">
        <is>
          <t>Staff briefing</t>
        </is>
      </c>
      <c r="K34" s="9" t="inlineStr"/>
    </row>
    <row r="35">
      <c r="A35" s="7" t="n">
        <v>1</v>
      </c>
      <c r="B35" s="8">
        <f>$B$7-7*1</f>
        <v/>
      </c>
      <c r="C35" s="9" t="inlineStr">
        <is>
          <t>Build day</t>
        </is>
      </c>
      <c r="D35" s="9" t="inlineStr"/>
      <c r="E35" s="9" t="inlineStr"/>
      <c r="F35" s="9" t="inlineStr"/>
      <c r="G35" s="9" t="inlineStr"/>
      <c r="H35" s="9" t="inlineStr"/>
      <c r="I35" s="9" t="inlineStr"/>
      <c r="J35" s="9" t="inlineStr"/>
      <c r="K35" s="9" t="inlineStr">
        <is>
          <t>Site induction</t>
        </is>
      </c>
    </row>
    <row r="36">
      <c r="A36" s="7" t="n">
        <v>0</v>
      </c>
      <c r="B36" s="8">
        <f>$B$7-7*0</f>
        <v/>
      </c>
      <c r="C36" s="9" t="inlineStr">
        <is>
          <t>Event days</t>
        </is>
      </c>
      <c r="D36" s="9" t="inlineStr"/>
      <c r="E36" s="9" t="inlineStr"/>
      <c r="F36" s="9" t="inlineStr"/>
      <c r="G36" s="9" t="inlineStr"/>
      <c r="H36" s="9" t="inlineStr"/>
      <c r="I36" s="9" t="inlineStr"/>
      <c r="J36" s="9" t="inlineStr"/>
      <c r="K36" s="9" t="inlineStr"/>
    </row>
    <row r="37">
      <c r="A37" s="7" t="inlineStr">
        <is>
          <t>Load-out</t>
        </is>
      </c>
      <c r="B37" s="8">
        <f>$B$7-7*-1</f>
        <v/>
      </c>
      <c r="C37" s="9" t="inlineStr">
        <is>
          <t>Load-out and returns</t>
        </is>
      </c>
      <c r="D37" s="9" t="inlineStr"/>
      <c r="E37" s="9" t="inlineStr"/>
      <c r="F37" s="9" t="inlineStr"/>
      <c r="G37" s="9" t="inlineStr">
        <is>
          <t>Thank-you emails and recap</t>
        </is>
      </c>
      <c r="H37" s="9" t="inlineStr"/>
      <c r="I37" s="9" t="inlineStr"/>
      <c r="J37" s="9" t="inlineStr"/>
      <c r="K37" s="9" t="inlineStr"/>
    </row>
  </sheetData>
  <mergeCells count="1">
    <mergeCell ref="A7"/>
  </mergeCells>
  <conditionalFormatting sqref="A10:K37">
    <cfRule type="expression" priority="1" dxfId="0">
      <formula>$A10=0</formula>
    </cfRule>
  </conditionalFormatting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F10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14" customWidth="1" min="2" max="2"/>
    <col width="18" customWidth="1" min="3" max="3"/>
    <col width="40" customWidth="1" min="4" max="4"/>
    <col width="16" customWidth="1" min="5" max="5"/>
    <col width="14" customWidth="1" min="6" max="6"/>
  </cols>
  <sheetData>
    <row r="1" ht="61.5" customHeight="1"/>
    <row r="3">
      <c r="A3" s="1" t="inlineStr">
        <is>
          <t>MILESTONES</t>
        </is>
      </c>
    </row>
    <row r="4" ht="30" customHeight="1">
      <c r="A4" s="2" t="inlineStr">
        <is>
          <t>MILESTONES</t>
        </is>
      </c>
    </row>
    <row r="5">
      <c r="A5" s="3" t="inlineStr">
        <is>
          <t>One row per milestone, with its owner and status. B7 is the event date on the critical path sheet.</t>
        </is>
      </c>
      <c r="B5" t="inlineStr"/>
    </row>
    <row r="7" ht="26" customHeight="1">
      <c r="A7" s="6" t="inlineStr">
        <is>
          <t>Weeks to go</t>
        </is>
      </c>
      <c r="B7" s="6" t="inlineStr">
        <is>
          <t>Date</t>
        </is>
      </c>
      <c r="C7" s="6" t="inlineStr">
        <is>
          <t>Workstream</t>
        </is>
      </c>
      <c r="D7" s="6" t="inlineStr">
        <is>
          <t>Milestone</t>
        </is>
      </c>
      <c r="E7" s="6" t="inlineStr">
        <is>
          <t>Owner</t>
        </is>
      </c>
      <c r="F7" s="6" t="inlineStr">
        <is>
          <t>Status</t>
        </is>
      </c>
    </row>
    <row r="8">
      <c r="A8" s="10" t="n">
        <v>26</v>
      </c>
      <c r="B8" s="11">
        <f>'Critical path'!$B$7-7*A8</f>
        <v/>
      </c>
      <c r="C8" s="10" t="inlineStr">
        <is>
          <t>Site</t>
        </is>
      </c>
      <c r="D8" s="10" t="inlineStr">
        <is>
          <t>Site confirmed</t>
        </is>
      </c>
      <c r="E8" s="10" t="inlineStr">
        <is>
          <t>[Owner]</t>
        </is>
      </c>
      <c r="F8" s="10" t="inlineStr">
        <is>
          <t>Done</t>
        </is>
      </c>
    </row>
    <row r="9">
      <c r="A9" s="10" t="n">
        <v>12</v>
      </c>
      <c r="B9" s="11">
        <f>'Critical path'!$B$7-7*A9</f>
        <v/>
      </c>
      <c r="C9" s="10" t="inlineStr">
        <is>
          <t>Agenda</t>
        </is>
      </c>
      <c r="D9" s="10" t="inlineStr">
        <is>
          <t>Agenda live</t>
        </is>
      </c>
      <c r="E9" s="10" t="inlineStr">
        <is>
          <t>[Owner]</t>
        </is>
      </c>
      <c r="F9" s="10" t="inlineStr">
        <is>
          <t>In progress</t>
        </is>
      </c>
    </row>
    <row r="10">
      <c r="A10" s="10" t="n">
        <v>4</v>
      </c>
      <c r="B10" s="11">
        <f>'Critical path'!$B$7-7*A10</f>
        <v/>
      </c>
      <c r="C10" s="10" t="inlineStr">
        <is>
          <t>Exhibitors</t>
        </is>
      </c>
      <c r="D10" s="10" t="inlineStr">
        <is>
          <t>Forms deadline</t>
        </is>
      </c>
      <c r="E10" s="10" t="inlineStr">
        <is>
          <t>[Owner]</t>
        </is>
      </c>
      <c r="F10" s="10" t="inlineStr">
        <is>
          <t>Not started</t>
        </is>
      </c>
    </row>
  </sheetData>
  <dataValidations count="2">
    <dataValidation sqref="C8:C210" showDropDown="0" showInputMessage="1" showErrorMessage="1" allowBlank="1" errorTitle="Not on the list" error="Pick a value from the list." promptTitle="Pick one" prompt="Which workstream" type="list">
      <formula1>"Site,Agenda,Partners,Exhibitors,Marketing,Ticketing,Production,Staffing,Health and safety"</formula1>
    </dataValidation>
    <dataValidation sqref="F8:F210" showDropDown="0" showInputMessage="1" showErrorMessage="1" allowBlank="1" errorTitle="Not on the list" error="Pick a value from the list." promptTitle="Pick one" prompt="Where it is up to" type="list">
      <formula1>"Not started,In progress,Blocked,Done"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Climb27</dc:creator>
  <dc:title xmlns:dc="http://purl.org/dc/elements/1.1/">Climb27 production critical path</dc:title>
  <dc:language xmlns:dc="http://purl.org/dc/elements/1.1/">en-GB</dc:language>
  <dcterms:created xmlns:dcterms="http://purl.org/dc/terms/" xmlns:xsi="http://www.w3.org/2001/XMLSchema-instance" xsi:type="dcterms:W3CDTF">2026-10-12T22:59:17Z</dcterms:created>
  <dcterms:modified xmlns:dcterms="http://purl.org/dc/terms/" xmlns:xsi="http://www.w3.org/2001/XMLSchema-instance" xsi:type="dcterms:W3CDTF">2026-10-12T22:59:17Z</dcterms:modified>
</cp:coreProperties>
</file>