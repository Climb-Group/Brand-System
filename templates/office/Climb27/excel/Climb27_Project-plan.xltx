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Titles" localSheetId="0">'Sheet'!$9:$9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d d mmm yyyy"/>
    <numFmt numFmtId="166" formatCode="d m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left style="thin">
        <color rgb="00E9E9E9"/>
      </left>
      <right style="thin">
        <color rgb="00E9E9E9"/>
      </right>
      <top style="thin">
        <color rgb="00E9E9E9"/>
      </top>
      <bottom style="thin">
        <color rgb="00E9E9E9"/>
      </bottom>
    </border>
  </borders>
  <cellStyleXfs count="1">
    <xf numFmtId="0" fontId="1" fillId="0" borderId="0"/>
  </cellStyleXfs>
  <cellXfs count="12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6" fontId="6" fillId="3" borderId="0" applyAlignment="1" pivotButton="0" quotePrefix="0" xfId="0">
      <alignment horizontal="center" vertical="center" textRotation="90"/>
    </xf>
    <xf numFmtId="0" fontId="1" fillId="0" borderId="0" applyAlignment="1" pivotButton="0" quotePrefix="0" xfId="0">
      <alignment vertical="top" wrapText="1"/>
    </xf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0" fontId="0" fillId="0" borderId="1" pivotButton="0" quotePrefix="0" xfId="0"/>
  </cellXfs>
  <cellStyles count="1">
    <cellStyle name="Normal" xfId="0" builtinId="0" hidden="0"/>
  </cellStyles>
  <dxfs count="2">
    <dxf>
      <fill>
        <patternFill patternType="solid">
          <fgColor rgb="00E8712A"/>
        </patternFill>
      </fill>
    </dxf>
    <dxf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982325" cy="10953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W23"/>
  <sheetViews>
    <sheetView showGridLines="0" workbookViewId="0">
      <pane xSplit="7" ySplit="9" topLeftCell="H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" customWidth="1" min="1" max="1"/>
    <col width="30" customWidth="1" min="2" max="2"/>
    <col width="14" customWidth="1" min="3" max="3"/>
    <col width="12" customWidth="1" min="4" max="4"/>
    <col width="12" customWidth="1" min="5" max="5"/>
    <col width="7" customWidth="1" min="6" max="6"/>
    <col width="13" customWidth="1" min="7" max="7"/>
    <col width="4.2" customWidth="1" min="8" max="8"/>
    <col width="4.2" customWidth="1" min="9" max="9"/>
    <col width="4.2" customWidth="1" min="10" max="10"/>
    <col width="4.2" customWidth="1" min="11" max="11"/>
    <col width="4.2" customWidth="1" min="12" max="12"/>
    <col width="4.2" customWidth="1" min="13" max="13"/>
    <col width="4.2" customWidth="1" min="14" max="14"/>
    <col width="4.2" customWidth="1" min="15" max="15"/>
    <col width="4.2" customWidth="1" min="16" max="16"/>
    <col width="4.2" customWidth="1" min="17" max="17"/>
    <col width="4.2" customWidth="1" min="18" max="18"/>
    <col width="4.2" customWidth="1" min="19" max="19"/>
    <col width="4.2" customWidth="1" min="20" max="20"/>
    <col width="4.2" customWidth="1" min="21" max="21"/>
    <col width="4.2" customWidth="1" min="22" max="22"/>
    <col width="4.2" customWidth="1" min="23" max="23"/>
  </cols>
  <sheetData>
    <row r="1" ht="86.25" customHeight="1"/>
    <row r="3">
      <c r="A3" s="1" t="inlineStr">
        <is>
          <t>PLAN</t>
        </is>
      </c>
    </row>
    <row r="4" ht="30" customHeight="1">
      <c r="A4" s="2" t="inlineStr">
        <is>
          <t>PROJECT PLAN</t>
        </is>
      </c>
    </row>
    <row r="5">
      <c r="A5" s="3" t="inlineStr">
        <is>
          <t>One row per task. Set the plan start; the week columns shade themselves between each task's start and end.</t>
        </is>
      </c>
    </row>
    <row r="7">
      <c r="A7" s="4" t="inlineStr">
        <is>
          <t>Plan start</t>
        </is>
      </c>
      <c r="C7" s="5" t="n">
        <v>46307</v>
      </c>
    </row>
    <row r="9" ht="48" customHeight="1">
      <c r="A9" s="6" t="inlineStr">
        <is>
          <t>ID</t>
        </is>
      </c>
      <c r="B9" s="6" t="inlineStr">
        <is>
          <t>Task</t>
        </is>
      </c>
      <c r="C9" s="6" t="inlineStr">
        <is>
          <t>Owner</t>
        </is>
      </c>
      <c r="D9" s="6" t="inlineStr">
        <is>
          <t>Start</t>
        </is>
      </c>
      <c r="E9" s="6" t="inlineStr">
        <is>
          <t>End</t>
        </is>
      </c>
      <c r="F9" s="6" t="inlineStr">
        <is>
          <t>Days</t>
        </is>
      </c>
      <c r="G9" s="6" t="inlineStr">
        <is>
          <t>Status</t>
        </is>
      </c>
      <c r="H9" s="7">
        <f>$C$7+0</f>
        <v/>
      </c>
      <c r="I9" s="7">
        <f>$C$7+7</f>
        <v/>
      </c>
      <c r="J9" s="7">
        <f>$C$7+14</f>
        <v/>
      </c>
      <c r="K9" s="7">
        <f>$C$7+21</f>
        <v/>
      </c>
      <c r="L9" s="7">
        <f>$C$7+28</f>
        <v/>
      </c>
      <c r="M9" s="7">
        <f>$C$7+35</f>
        <v/>
      </c>
      <c r="N9" s="7">
        <f>$C$7+42</f>
        <v/>
      </c>
      <c r="O9" s="7">
        <f>$C$7+49</f>
        <v/>
      </c>
      <c r="P9" s="7">
        <f>$C$7+56</f>
        <v/>
      </c>
      <c r="Q9" s="7">
        <f>$C$7+63</f>
        <v/>
      </c>
      <c r="R9" s="7">
        <f>$C$7+70</f>
        <v/>
      </c>
      <c r="S9" s="7">
        <f>$C$7+77</f>
        <v/>
      </c>
      <c r="T9" s="7">
        <f>$C$7+84</f>
        <v/>
      </c>
      <c r="U9" s="7">
        <f>$C$7+91</f>
        <v/>
      </c>
      <c r="V9" s="7">
        <f>$C$7+98</f>
        <v/>
      </c>
      <c r="W9" s="7">
        <f>$C$7+105</f>
        <v/>
      </c>
    </row>
    <row r="10">
      <c r="A10" s="8" t="n">
        <v>1</v>
      </c>
      <c r="B10" s="9" t="inlineStr">
        <is>
          <t>Kick-off</t>
        </is>
      </c>
      <c r="C10" s="9" t="inlineStr">
        <is>
          <t>[Name]</t>
        </is>
      </c>
      <c r="D10" s="10">
        <f>$C$7+0</f>
        <v/>
      </c>
      <c r="E10" s="10">
        <f>$C$7+0</f>
        <v/>
      </c>
      <c r="F10" s="8">
        <f>IF(AND(ISNUMBER(D10),ISNUMBER(E10)),E10-D10+1,"")</f>
        <v/>
      </c>
      <c r="G10" s="9" t="inlineStr">
        <is>
          <t>Not started</t>
        </is>
      </c>
      <c r="H10" s="11" t="n"/>
      <c r="I10" s="11" t="n"/>
      <c r="J10" s="11" t="n"/>
      <c r="K10" s="11" t="n"/>
      <c r="L10" s="11" t="n"/>
      <c r="M10" s="11" t="n"/>
      <c r="N10" s="11" t="n"/>
      <c r="O10" s="11" t="n"/>
      <c r="P10" s="11" t="n"/>
      <c r="Q10" s="11" t="n"/>
      <c r="R10" s="11" t="n"/>
      <c r="S10" s="11" t="n"/>
      <c r="T10" s="11" t="n"/>
      <c r="U10" s="11" t="n"/>
      <c r="V10" s="11" t="n"/>
      <c r="W10" s="11" t="n"/>
    </row>
    <row r="11">
      <c r="A11" s="8" t="n">
        <v>2</v>
      </c>
      <c r="B11" s="9" t="inlineStr">
        <is>
          <t>Brief agreed</t>
        </is>
      </c>
      <c r="C11" s="9" t="inlineStr">
        <is>
          <t>[Name]</t>
        </is>
      </c>
      <c r="D11" s="10">
        <f>$C$7+1</f>
        <v/>
      </c>
      <c r="E11" s="10">
        <f>$C$7+5</f>
        <v/>
      </c>
      <c r="F11" s="8">
        <f>IF(AND(ISNUMBER(D11),ISNUMBER(E11)),E11-D11+1,"")</f>
        <v/>
      </c>
      <c r="G11" s="9" t="inlineStr">
        <is>
          <t>Not started</t>
        </is>
      </c>
      <c r="H11" s="11" t="n"/>
      <c r="I11" s="11" t="n"/>
      <c r="J11" s="11" t="n"/>
      <c r="K11" s="11" t="n"/>
      <c r="L11" s="11" t="n"/>
      <c r="M11" s="11" t="n"/>
      <c r="N11" s="11" t="n"/>
      <c r="O11" s="11" t="n"/>
      <c r="P11" s="11" t="n"/>
      <c r="Q11" s="11" t="n"/>
      <c r="R11" s="11" t="n"/>
      <c r="S11" s="11" t="n"/>
      <c r="T11" s="11" t="n"/>
      <c r="U11" s="11" t="n"/>
      <c r="V11" s="11" t="n"/>
      <c r="W11" s="11" t="n"/>
    </row>
    <row r="12">
      <c r="A12" s="8" t="n">
        <v>3</v>
      </c>
      <c r="B12" s="9" t="inlineStr">
        <is>
          <t>First version</t>
        </is>
      </c>
      <c r="C12" s="9" t="inlineStr">
        <is>
          <t>[Name]</t>
        </is>
      </c>
      <c r="D12" s="10">
        <f>$C$7+6</f>
        <v/>
      </c>
      <c r="E12" s="10">
        <f>$C$7+20</f>
        <v/>
      </c>
      <c r="F12" s="8">
        <f>IF(AND(ISNUMBER(D12),ISNUMBER(E12)),E12-D12+1,"")</f>
        <v/>
      </c>
      <c r="G12" s="9" t="inlineStr">
        <is>
          <t>Not started</t>
        </is>
      </c>
      <c r="H12" s="11" t="n"/>
      <c r="I12" s="11" t="n"/>
      <c r="J12" s="11" t="n"/>
      <c r="K12" s="11" t="n"/>
      <c r="L12" s="11" t="n"/>
      <c r="M12" s="11" t="n"/>
      <c r="N12" s="11" t="n"/>
      <c r="O12" s="11" t="n"/>
      <c r="P12" s="11" t="n"/>
      <c r="Q12" s="11" t="n"/>
      <c r="R12" s="11" t="n"/>
      <c r="S12" s="11" t="n"/>
      <c r="T12" s="11" t="n"/>
      <c r="U12" s="11" t="n"/>
      <c r="V12" s="11" t="n"/>
      <c r="W12" s="11" t="n"/>
    </row>
    <row r="13">
      <c r="A13" s="8" t="n">
        <v>4</v>
      </c>
      <c r="B13" s="9" t="inlineStr">
        <is>
          <t>Feedback</t>
        </is>
      </c>
      <c r="C13" s="9" t="inlineStr">
        <is>
          <t>[Name]</t>
        </is>
      </c>
      <c r="D13" s="10">
        <f>$C$7+21</f>
        <v/>
      </c>
      <c r="E13" s="10">
        <f>$C$7+27</f>
        <v/>
      </c>
      <c r="F13" s="8">
        <f>IF(AND(ISNUMBER(D13),ISNUMBER(E13)),E13-D13+1,"")</f>
        <v/>
      </c>
      <c r="G13" s="9" t="inlineStr">
        <is>
          <t>Not started</t>
        </is>
      </c>
      <c r="H13" s="11" t="n"/>
      <c r="I13" s="11" t="n"/>
      <c r="J13" s="11" t="n"/>
      <c r="K13" s="11" t="n"/>
      <c r="L13" s="11" t="n"/>
      <c r="M13" s="11" t="n"/>
      <c r="N13" s="11" t="n"/>
      <c r="O13" s="11" t="n"/>
      <c r="P13" s="11" t="n"/>
      <c r="Q13" s="11" t="n"/>
      <c r="R13" s="11" t="n"/>
      <c r="S13" s="11" t="n"/>
      <c r="T13" s="11" t="n"/>
      <c r="U13" s="11" t="n"/>
      <c r="V13" s="11" t="n"/>
      <c r="W13" s="11" t="n"/>
    </row>
    <row r="14">
      <c r="A14" s="8" t="n">
        <v>5</v>
      </c>
      <c r="B14" s="9" t="inlineStr">
        <is>
          <t>Final version</t>
        </is>
      </c>
      <c r="C14" s="9" t="inlineStr">
        <is>
          <t>[Name]</t>
        </is>
      </c>
      <c r="D14" s="10">
        <f>$C$7+28</f>
        <v/>
      </c>
      <c r="E14" s="10">
        <f>$C$7+41</f>
        <v/>
      </c>
      <c r="F14" s="8">
        <f>IF(AND(ISNUMBER(D14),ISNUMBER(E14)),E14-D14+1,"")</f>
        <v/>
      </c>
      <c r="G14" s="9" t="inlineStr">
        <is>
          <t>Not started</t>
        </is>
      </c>
      <c r="H14" s="11" t="n"/>
      <c r="I14" s="11" t="n"/>
      <c r="J14" s="11" t="n"/>
      <c r="K14" s="11" t="n"/>
      <c r="L14" s="11" t="n"/>
      <c r="M14" s="11" t="n"/>
      <c r="N14" s="11" t="n"/>
      <c r="O14" s="11" t="n"/>
      <c r="P14" s="11" t="n"/>
      <c r="Q14" s="11" t="n"/>
      <c r="R14" s="11" t="n"/>
      <c r="S14" s="11" t="n"/>
      <c r="T14" s="11" t="n"/>
      <c r="U14" s="11" t="n"/>
      <c r="V14" s="11" t="n"/>
      <c r="W14" s="11" t="n"/>
    </row>
    <row r="15">
      <c r="A15" s="8" t="n">
        <v>6</v>
      </c>
      <c r="B15" s="9" t="inlineStr">
        <is>
          <t>Launch</t>
        </is>
      </c>
      <c r="C15" s="9" t="inlineStr">
        <is>
          <t>[Name]</t>
        </is>
      </c>
      <c r="D15" s="10">
        <f>$C$7+42</f>
        <v/>
      </c>
      <c r="E15" s="10">
        <f>$C$7+42</f>
        <v/>
      </c>
      <c r="F15" s="8">
        <f>IF(AND(ISNUMBER(D15),ISNUMBER(E15)),E15-D15+1,"")</f>
        <v/>
      </c>
      <c r="G15" s="9" t="inlineStr">
        <is>
          <t>Not started</t>
        </is>
      </c>
      <c r="H15" s="11" t="n"/>
      <c r="I15" s="11" t="n"/>
      <c r="J15" s="11" t="n"/>
      <c r="K15" s="11" t="n"/>
      <c r="L15" s="11" t="n"/>
      <c r="M15" s="11" t="n"/>
      <c r="N15" s="11" t="n"/>
      <c r="O15" s="11" t="n"/>
      <c r="P15" s="11" t="n"/>
      <c r="Q15" s="11" t="n"/>
      <c r="R15" s="11" t="n"/>
      <c r="S15" s="11" t="n"/>
      <c r="T15" s="11" t="n"/>
      <c r="U15" s="11" t="n"/>
      <c r="V15" s="11" t="n"/>
      <c r="W15" s="11" t="n"/>
    </row>
    <row r="16">
      <c r="A16" s="8" t="n">
        <v>7</v>
      </c>
      <c r="B16" s="9" t="inlineStr"/>
      <c r="C16" s="9" t="inlineStr"/>
      <c r="D16" s="10" t="n"/>
      <c r="E16" s="10" t="n"/>
      <c r="F16" s="8">
        <f>IF(AND(ISNUMBER(D16),ISNUMBER(E16)),E16-D16+1,"")</f>
        <v/>
      </c>
      <c r="G16" s="9" t="inlineStr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  <c r="R16" s="11" t="n"/>
      <c r="S16" s="11" t="n"/>
      <c r="T16" s="11" t="n"/>
      <c r="U16" s="11" t="n"/>
      <c r="V16" s="11" t="n"/>
      <c r="W16" s="11" t="n"/>
    </row>
    <row r="17">
      <c r="A17" s="8" t="n">
        <v>8</v>
      </c>
      <c r="B17" s="9" t="inlineStr"/>
      <c r="C17" s="9" t="inlineStr"/>
      <c r="D17" s="10" t="n"/>
      <c r="E17" s="10" t="n"/>
      <c r="F17" s="8">
        <f>IF(AND(ISNUMBER(D17),ISNUMBER(E17)),E17-D17+1,"")</f>
        <v/>
      </c>
      <c r="G17" s="9" t="inlineStr"/>
      <c r="H17" s="11" t="n"/>
      <c r="I17" s="11" t="n"/>
      <c r="J17" s="11" t="n"/>
      <c r="K17" s="11" t="n"/>
      <c r="L17" s="11" t="n"/>
      <c r="M17" s="11" t="n"/>
      <c r="N17" s="11" t="n"/>
      <c r="O17" s="11" t="n"/>
      <c r="P17" s="11" t="n"/>
      <c r="Q17" s="11" t="n"/>
      <c r="R17" s="11" t="n"/>
      <c r="S17" s="11" t="n"/>
      <c r="T17" s="11" t="n"/>
      <c r="U17" s="11" t="n"/>
      <c r="V17" s="11" t="n"/>
      <c r="W17" s="11" t="n"/>
    </row>
    <row r="18">
      <c r="A18" s="8" t="n">
        <v>9</v>
      </c>
      <c r="B18" s="9" t="inlineStr"/>
      <c r="C18" s="9" t="inlineStr"/>
      <c r="D18" s="10" t="n"/>
      <c r="E18" s="10" t="n"/>
      <c r="F18" s="8">
        <f>IF(AND(ISNUMBER(D18),ISNUMBER(E18)),E18-D18+1,"")</f>
        <v/>
      </c>
      <c r="G18" s="9" t="inlineStr"/>
      <c r="H18" s="11" t="n"/>
      <c r="I18" s="11" t="n"/>
      <c r="J18" s="11" t="n"/>
      <c r="K18" s="11" t="n"/>
      <c r="L18" s="11" t="n"/>
      <c r="M18" s="11" t="n"/>
      <c r="N18" s="11" t="n"/>
      <c r="O18" s="11" t="n"/>
      <c r="P18" s="11" t="n"/>
      <c r="Q18" s="11" t="n"/>
      <c r="R18" s="11" t="n"/>
      <c r="S18" s="11" t="n"/>
      <c r="T18" s="11" t="n"/>
      <c r="U18" s="11" t="n"/>
      <c r="V18" s="11" t="n"/>
      <c r="W18" s="11" t="n"/>
    </row>
    <row r="19">
      <c r="A19" s="8" t="n">
        <v>10</v>
      </c>
      <c r="B19" s="9" t="inlineStr"/>
      <c r="C19" s="9" t="inlineStr"/>
      <c r="D19" s="10" t="n"/>
      <c r="E19" s="10" t="n"/>
      <c r="F19" s="8">
        <f>IF(AND(ISNUMBER(D19),ISNUMBER(E19)),E19-D19+1,"")</f>
        <v/>
      </c>
      <c r="G19" s="9" t="inlineStr"/>
      <c r="H19" s="11" t="n"/>
      <c r="I19" s="11" t="n"/>
      <c r="J19" s="11" t="n"/>
      <c r="K19" s="11" t="n"/>
      <c r="L19" s="11" t="n"/>
      <c r="M19" s="11" t="n"/>
      <c r="N19" s="11" t="n"/>
      <c r="O19" s="11" t="n"/>
      <c r="P19" s="11" t="n"/>
      <c r="Q19" s="11" t="n"/>
      <c r="R19" s="11" t="n"/>
      <c r="S19" s="11" t="n"/>
      <c r="T19" s="11" t="n"/>
      <c r="U19" s="11" t="n"/>
      <c r="V19" s="11" t="n"/>
      <c r="W19" s="11" t="n"/>
    </row>
    <row r="20">
      <c r="A20" s="8" t="n">
        <v>11</v>
      </c>
      <c r="B20" s="9" t="inlineStr"/>
      <c r="C20" s="9" t="inlineStr"/>
      <c r="D20" s="10" t="n"/>
      <c r="E20" s="10" t="n"/>
      <c r="F20" s="8">
        <f>IF(AND(ISNUMBER(D20),ISNUMBER(E20)),E20-D20+1,"")</f>
        <v/>
      </c>
      <c r="G20" s="9" t="inlineStr"/>
      <c r="H20" s="11" t="n"/>
      <c r="I20" s="11" t="n"/>
      <c r="J20" s="11" t="n"/>
      <c r="K20" s="11" t="n"/>
      <c r="L20" s="11" t="n"/>
      <c r="M20" s="11" t="n"/>
      <c r="N20" s="11" t="n"/>
      <c r="O20" s="11" t="n"/>
      <c r="P20" s="11" t="n"/>
      <c r="Q20" s="11" t="n"/>
      <c r="R20" s="11" t="n"/>
      <c r="S20" s="11" t="n"/>
      <c r="T20" s="11" t="n"/>
      <c r="U20" s="11" t="n"/>
      <c r="V20" s="11" t="n"/>
      <c r="W20" s="11" t="n"/>
    </row>
    <row r="21">
      <c r="A21" s="8" t="n">
        <v>12</v>
      </c>
      <c r="B21" s="9" t="inlineStr"/>
      <c r="C21" s="9" t="inlineStr"/>
      <c r="D21" s="10" t="n"/>
      <c r="E21" s="10" t="n"/>
      <c r="F21" s="8">
        <f>IF(AND(ISNUMBER(D21),ISNUMBER(E21)),E21-D21+1,"")</f>
        <v/>
      </c>
      <c r="G21" s="9" t="inlineStr"/>
      <c r="H21" s="11" t="n"/>
      <c r="I21" s="11" t="n"/>
      <c r="J21" s="11" t="n"/>
      <c r="K21" s="11" t="n"/>
      <c r="L21" s="11" t="n"/>
      <c r="M21" s="11" t="n"/>
      <c r="N21" s="11" t="n"/>
      <c r="O21" s="11" t="n"/>
      <c r="P21" s="11" t="n"/>
      <c r="Q21" s="11" t="n"/>
      <c r="R21" s="11" t="n"/>
      <c r="S21" s="11" t="n"/>
      <c r="T21" s="11" t="n"/>
      <c r="U21" s="11" t="n"/>
      <c r="V21" s="11" t="n"/>
      <c r="W21" s="11" t="n"/>
    </row>
    <row r="22">
      <c r="A22" s="8" t="n">
        <v>13</v>
      </c>
      <c r="B22" s="9" t="inlineStr"/>
      <c r="C22" s="9" t="inlineStr"/>
      <c r="D22" s="10" t="n"/>
      <c r="E22" s="10" t="n"/>
      <c r="F22" s="8">
        <f>IF(AND(ISNUMBER(D22),ISNUMBER(E22)),E22-D22+1,"")</f>
        <v/>
      </c>
      <c r="G22" s="9" t="inlineStr"/>
      <c r="H22" s="11" t="n"/>
      <c r="I22" s="11" t="n"/>
      <c r="J22" s="11" t="n"/>
      <c r="K22" s="11" t="n"/>
      <c r="L22" s="11" t="n"/>
      <c r="M22" s="11" t="n"/>
      <c r="N22" s="11" t="n"/>
      <c r="O22" s="11" t="n"/>
      <c r="P22" s="11" t="n"/>
      <c r="Q22" s="11" t="n"/>
      <c r="R22" s="11" t="n"/>
      <c r="S22" s="11" t="n"/>
      <c r="T22" s="11" t="n"/>
      <c r="U22" s="11" t="n"/>
      <c r="V22" s="11" t="n"/>
      <c r="W22" s="11" t="n"/>
    </row>
    <row r="23">
      <c r="A23" s="8" t="n">
        <v>14</v>
      </c>
      <c r="B23" s="9" t="inlineStr"/>
      <c r="C23" s="9" t="inlineStr"/>
      <c r="D23" s="10" t="n"/>
      <c r="E23" s="10" t="n"/>
      <c r="F23" s="8">
        <f>IF(AND(ISNUMBER(D23),ISNUMBER(E23)),E23-D23+1,"")</f>
        <v/>
      </c>
      <c r="G23" s="9" t="inlineStr"/>
      <c r="H23" s="11" t="n"/>
      <c r="I23" s="11" t="n"/>
      <c r="J23" s="11" t="n"/>
      <c r="K23" s="11" t="n"/>
      <c r="L23" s="11" t="n"/>
      <c r="M23" s="11" t="n"/>
      <c r="N23" s="11" t="n"/>
      <c r="O23" s="11" t="n"/>
      <c r="P23" s="11" t="n"/>
      <c r="Q23" s="11" t="n"/>
      <c r="R23" s="11" t="n"/>
      <c r="S23" s="11" t="n"/>
      <c r="T23" s="11" t="n"/>
      <c r="U23" s="11" t="n"/>
      <c r="V23" s="11" t="n"/>
      <c r="W23" s="11" t="n"/>
    </row>
  </sheetData>
  <mergeCells count="1">
    <mergeCell ref="A7:B7"/>
  </mergeCells>
  <conditionalFormatting sqref="H10:W23">
    <cfRule type="expression" priority="1" dxfId="0">
      <formula>AND(ISNUMBER($D10),ISNUMBER($E10),H$9&lt;=$E10,H$9+6&gt;=$D10)</formula>
    </cfRule>
    <cfRule type="expression" priority="2" dxfId="1" stopIfTrue="1">
      <formula>AND($G10="Done",ISNUMBER($D10),H$9&lt;=$E10,H$9+6&gt;=$D10)</formula>
    </cfRule>
  </conditionalFormatting>
  <dataValidations count="1">
    <dataValidation sqref="G10:G23" showDropDown="0" showInputMessage="1" showErrorMessage="1" allowBlank="1" errorTitle="Not on the list" error="Pick a value from the list." promptTitle="Pick one" prompt="Where the task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project plan (gantt)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