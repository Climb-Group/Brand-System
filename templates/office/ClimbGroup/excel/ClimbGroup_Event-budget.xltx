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Budget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'Budget'!$7:$7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&quot;£&quot;#,##0;-&quot;£&quot;#,##0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3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4" fontId="6" fillId="0" borderId="1" pivotButton="0" quotePrefix="0" xfId="0"/>
    <xf numFmtId="0" fontId="5" fillId="2" borderId="0" pivotButton="0" quotePrefix="0" xfId="0"/>
    <xf numFmtId="0" fontId="1" fillId="0" borderId="0" pivotButton="0" quotePrefix="0" xfId="0"/>
    <xf numFmtId="164" fontId="1" fillId="0" borderId="0" pivotButton="0" quotePrefix="0" xfId="0"/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Budget by category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'Summary'!B6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'Summary'!$A$7:$A$14</f>
            </numRef>
          </cat>
          <val>
            <numRef>
              <f>'Summary'!$B$7:$B$14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382375" cy="11334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5</col>
      <colOff>0</colOff>
      <row>5</row>
      <rowOff>0</rowOff>
    </from>
    <ext cx="6480000" cy="324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8362950" cy="8286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Budget" displayName="Budget" ref="A7:H15" headerRowCount="1">
  <autoFilter ref="A7:H15"/>
  <tableColumns count="8">
    <tableColumn id="1" name="Category"/>
    <tableColumn id="2" name="Item"/>
    <tableColumn id="3" name="Supplier"/>
    <tableColumn id="4" name="Budget"/>
    <tableColumn id="5" name="Actual"/>
    <tableColumn id="6" name="Variance"/>
    <tableColumn id="7" name="Status"/>
    <tableColumn id="8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4" customWidth="1" min="1" max="1"/>
    <col width="28" customWidth="1" min="2" max="2"/>
    <col width="22" customWidth="1" min="3" max="3"/>
    <col width="14" customWidth="1" min="4" max="4"/>
    <col width="14" customWidth="1" min="5" max="5"/>
    <col width="14" customWidth="1" min="6" max="6"/>
    <col width="14" customWidth="1" min="7" max="7"/>
    <col width="36" customWidth="1" min="8" max="8"/>
  </cols>
  <sheetData>
    <row r="1" ht="89.25" customHeight="1"/>
    <row r="3">
      <c r="A3" s="1" t="inlineStr">
        <is>
          <t>BUDGET</t>
        </is>
      </c>
    </row>
    <row r="4" ht="30" customHeight="1">
      <c r="A4" s="2" t="inlineStr">
        <is>
          <t>EVENT BUDGET</t>
        </is>
      </c>
    </row>
    <row r="5">
      <c r="A5" s="3" t="inlineStr">
        <is>
          <t>One line per cost. Variance is budget minus actual: negative means over budget.</t>
        </is>
      </c>
    </row>
    <row r="7" ht="26" customHeight="1">
      <c r="A7" s="4" t="inlineStr">
        <is>
          <t>Category</t>
        </is>
      </c>
      <c r="B7" s="4" t="inlineStr">
        <is>
          <t>Item</t>
        </is>
      </c>
      <c r="C7" s="4" t="inlineStr">
        <is>
          <t>Supplier</t>
        </is>
      </c>
      <c r="D7" s="4" t="inlineStr">
        <is>
          <t>Budget</t>
        </is>
      </c>
      <c r="E7" s="4" t="inlineStr">
        <is>
          <t>Actual</t>
        </is>
      </c>
      <c r="F7" s="4" t="inlineStr">
        <is>
          <t>Variance</t>
        </is>
      </c>
      <c r="G7" s="4" t="inlineStr">
        <is>
          <t>Status</t>
        </is>
      </c>
      <c r="H7" s="4" t="inlineStr">
        <is>
          <t>Notes</t>
        </is>
      </c>
    </row>
    <row r="8">
      <c r="A8" s="5" t="inlineStr">
        <is>
          <t>Venue and production</t>
        </is>
      </c>
      <c r="B8" s="5" t="inlineStr">
        <is>
          <t>[Item]</t>
        </is>
      </c>
      <c r="C8" s="5" t="inlineStr">
        <is>
          <t>[Supplier]</t>
        </is>
      </c>
      <c r="D8" s="6" t="n">
        <v>0</v>
      </c>
      <c r="E8" s="6" t="n">
        <v>0</v>
      </c>
      <c r="F8" s="6">
        <f>D8-E8</f>
        <v/>
      </c>
      <c r="G8" s="5" t="inlineStr">
        <is>
          <t>Planned</t>
        </is>
      </c>
      <c r="H8" s="5" t="inlineStr"/>
    </row>
    <row r="9">
      <c r="A9" s="5" t="inlineStr">
        <is>
          <t>Stage and AV</t>
        </is>
      </c>
      <c r="B9" s="5" t="inlineStr">
        <is>
          <t>[Item]</t>
        </is>
      </c>
      <c r="C9" s="5" t="inlineStr">
        <is>
          <t>[Supplier]</t>
        </is>
      </c>
      <c r="D9" s="6" t="n">
        <v>0</v>
      </c>
      <c r="E9" s="6" t="n">
        <v>0</v>
      </c>
      <c r="F9" s="6">
        <f>D9-E9</f>
        <v/>
      </c>
      <c r="G9" s="5" t="inlineStr">
        <is>
          <t>Planned</t>
        </is>
      </c>
      <c r="H9" s="5" t="inlineStr"/>
    </row>
    <row r="10">
      <c r="A10" s="5" t="inlineStr">
        <is>
          <t>Speakers</t>
        </is>
      </c>
      <c r="B10" s="5" t="inlineStr">
        <is>
          <t>[Item]</t>
        </is>
      </c>
      <c r="C10" s="5" t="inlineStr">
        <is>
          <t>[Supplier]</t>
        </is>
      </c>
      <c r="D10" s="6" t="n">
        <v>0</v>
      </c>
      <c r="E10" s="6" t="n">
        <v>0</v>
      </c>
      <c r="F10" s="6">
        <f>D10-E10</f>
        <v/>
      </c>
      <c r="G10" s="5" t="inlineStr">
        <is>
          <t>Planned</t>
        </is>
      </c>
      <c r="H10" s="5" t="inlineStr"/>
    </row>
    <row r="11">
      <c r="A11" s="5" t="inlineStr">
        <is>
          <t>Catering</t>
        </is>
      </c>
      <c r="B11" s="5" t="inlineStr">
        <is>
          <t>[Item]</t>
        </is>
      </c>
      <c r="C11" s="5" t="inlineStr">
        <is>
          <t>[Supplier]</t>
        </is>
      </c>
      <c r="D11" s="6" t="n">
        <v>0</v>
      </c>
      <c r="E11" s="6" t="n">
        <v>0</v>
      </c>
      <c r="F11" s="6">
        <f>D11-E11</f>
        <v/>
      </c>
      <c r="G11" s="5" t="inlineStr">
        <is>
          <t>Planned</t>
        </is>
      </c>
      <c r="H11" s="5" t="inlineStr"/>
    </row>
    <row r="12">
      <c r="A12" s="5" t="inlineStr">
        <is>
          <t>Marketing</t>
        </is>
      </c>
      <c r="B12" s="5" t="inlineStr">
        <is>
          <t>[Item]</t>
        </is>
      </c>
      <c r="C12" s="5" t="inlineStr">
        <is>
          <t>[Supplier]</t>
        </is>
      </c>
      <c r="D12" s="6" t="n">
        <v>0</v>
      </c>
      <c r="E12" s="6" t="n">
        <v>0</v>
      </c>
      <c r="F12" s="6">
        <f>D12-E12</f>
        <v/>
      </c>
      <c r="G12" s="5" t="inlineStr">
        <is>
          <t>Planned</t>
        </is>
      </c>
      <c r="H12" s="5" t="inlineStr"/>
    </row>
    <row r="13">
      <c r="A13" s="5" t="inlineStr">
        <is>
          <t>Print and signage</t>
        </is>
      </c>
      <c r="B13" s="5" t="inlineStr">
        <is>
          <t>[Item]</t>
        </is>
      </c>
      <c r="C13" s="5" t="inlineStr">
        <is>
          <t>[Supplier]</t>
        </is>
      </c>
      <c r="D13" s="6" t="n">
        <v>0</v>
      </c>
      <c r="E13" s="6" t="n">
        <v>0</v>
      </c>
      <c r="F13" s="6">
        <f>D13-E13</f>
        <v/>
      </c>
      <c r="G13" s="5" t="inlineStr">
        <is>
          <t>Planned</t>
        </is>
      </c>
      <c r="H13" s="5" t="inlineStr"/>
    </row>
    <row r="14">
      <c r="A14" s="5" t="inlineStr">
        <is>
          <t>Staff and crew</t>
        </is>
      </c>
      <c r="B14" s="5" t="inlineStr">
        <is>
          <t>[Item]</t>
        </is>
      </c>
      <c r="C14" s="5" t="inlineStr">
        <is>
          <t>[Supplier]</t>
        </is>
      </c>
      <c r="D14" s="6" t="n">
        <v>0</v>
      </c>
      <c r="E14" s="6" t="n">
        <v>0</v>
      </c>
      <c r="F14" s="6">
        <f>D14-E14</f>
        <v/>
      </c>
      <c r="G14" s="5" t="inlineStr">
        <is>
          <t>Planned</t>
        </is>
      </c>
      <c r="H14" s="5" t="inlineStr"/>
    </row>
    <row r="15">
      <c r="A15" s="5" t="inlineStr">
        <is>
          <t>Contingency</t>
        </is>
      </c>
      <c r="B15" s="5" t="inlineStr">
        <is>
          <t>[Item]</t>
        </is>
      </c>
      <c r="C15" s="5" t="inlineStr">
        <is>
          <t>[Supplier]</t>
        </is>
      </c>
      <c r="D15" s="6" t="n">
        <v>0</v>
      </c>
      <c r="E15" s="6" t="n">
        <v>0</v>
      </c>
      <c r="F15" s="6">
        <f>D15-E15</f>
        <v/>
      </c>
      <c r="G15" s="5" t="inlineStr">
        <is>
          <t>Planned</t>
        </is>
      </c>
      <c r="H15" s="5" t="inlineStr"/>
    </row>
    <row r="17">
      <c r="A17" s="7" t="inlineStr">
        <is>
          <t>Total</t>
        </is>
      </c>
      <c r="B17" s="8" t="n"/>
      <c r="C17" s="8" t="n"/>
      <c r="D17" s="9">
        <f>SUBTOTAL(109,Budget[Budget])</f>
        <v/>
      </c>
      <c r="E17" s="9">
        <f>SUBTOTAL(109,Budget[Actual])</f>
        <v/>
      </c>
      <c r="F17" s="9">
        <f>SUBTOTAL(109,Budget[Variance])</f>
        <v/>
      </c>
      <c r="G17" s="8" t="n"/>
      <c r="H17" s="8" t="n"/>
    </row>
  </sheetData>
  <conditionalFormatting sqref="F8:F215">
    <cfRule type="cellIs" priority="1" operator="lessThan" dxfId="0">
      <formula>0</formula>
    </cfRule>
  </conditionalFormatting>
  <dataValidations count="1">
    <dataValidation sqref="G8:G215" showDropDown="0" showInputMessage="1" showErrorMessage="1" allowBlank="1" errorTitle="Not on the list" error="Pick a value from the list." promptTitle="Pick one" prompt="Where this cost is up to" type="list">
      <formula1>"Planned,Quoted,Booked,Invoiced,Paid"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3:D14"/>
  <sheetViews>
    <sheetView showGridLines="0" workbookViewId="0">
      <selection activeCell="A1" sqref="A1"/>
    </sheetView>
  </sheetViews>
  <sheetFormatPr baseColWidth="8" defaultRowHeight="15"/>
  <cols>
    <col width="28" customWidth="1" min="1" max="1"/>
    <col width="14" customWidth="1" min="2" max="2"/>
    <col width="14" customWidth="1" min="3" max="3"/>
    <col width="14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65.25" customHeight="1"/>
    <row r="3">
      <c r="A3" s="1" t="inlineStr">
        <is>
          <t>SUMMARY</t>
        </is>
      </c>
    </row>
    <row r="4">
      <c r="A4" s="2" t="inlineStr">
        <is>
          <t>BUDGET BY CATEGORY</t>
        </is>
      </c>
    </row>
    <row r="6">
      <c r="A6" s="10" t="inlineStr">
        <is>
          <t>Category</t>
        </is>
      </c>
      <c r="B6" s="10" t="inlineStr">
        <is>
          <t>Budget</t>
        </is>
      </c>
      <c r="C6" s="10" t="inlineStr">
        <is>
          <t>Actual</t>
        </is>
      </c>
      <c r="D6" s="10" t="inlineStr">
        <is>
          <t>Variance</t>
        </is>
      </c>
    </row>
    <row r="7">
      <c r="A7" s="11" t="inlineStr">
        <is>
          <t>Venue and production</t>
        </is>
      </c>
      <c r="B7" s="12">
        <f>SUMIFS(Budget[Budget],Budget[Category],$A7)</f>
        <v/>
      </c>
      <c r="C7" s="12">
        <f>SUMIFS(Budget[Actual],Budget[Category],$A7)</f>
        <v/>
      </c>
      <c r="D7" s="12">
        <f>SUMIFS(Budget[Variance],Budget[Category],$A7)</f>
        <v/>
      </c>
    </row>
    <row r="8">
      <c r="A8" s="11" t="inlineStr">
        <is>
          <t>Stage and AV</t>
        </is>
      </c>
      <c r="B8" s="12">
        <f>SUMIFS(Budget[Budget],Budget[Category],$A8)</f>
        <v/>
      </c>
      <c r="C8" s="12">
        <f>SUMIFS(Budget[Actual],Budget[Category],$A8)</f>
        <v/>
      </c>
      <c r="D8" s="12">
        <f>SUMIFS(Budget[Variance],Budget[Category],$A8)</f>
        <v/>
      </c>
    </row>
    <row r="9">
      <c r="A9" s="11" t="inlineStr">
        <is>
          <t>Speakers</t>
        </is>
      </c>
      <c r="B9" s="12">
        <f>SUMIFS(Budget[Budget],Budget[Category],$A9)</f>
        <v/>
      </c>
      <c r="C9" s="12">
        <f>SUMIFS(Budget[Actual],Budget[Category],$A9)</f>
        <v/>
      </c>
      <c r="D9" s="12">
        <f>SUMIFS(Budget[Variance],Budget[Category],$A9)</f>
        <v/>
      </c>
    </row>
    <row r="10">
      <c r="A10" s="11" t="inlineStr">
        <is>
          <t>Catering</t>
        </is>
      </c>
      <c r="B10" s="12">
        <f>SUMIFS(Budget[Budget],Budget[Category],$A10)</f>
        <v/>
      </c>
      <c r="C10" s="12">
        <f>SUMIFS(Budget[Actual],Budget[Category],$A10)</f>
        <v/>
      </c>
      <c r="D10" s="12">
        <f>SUMIFS(Budget[Variance],Budget[Category],$A10)</f>
        <v/>
      </c>
    </row>
    <row r="11">
      <c r="A11" s="11" t="inlineStr">
        <is>
          <t>Marketing</t>
        </is>
      </c>
      <c r="B11" s="12">
        <f>SUMIFS(Budget[Budget],Budget[Category],$A11)</f>
        <v/>
      </c>
      <c r="C11" s="12">
        <f>SUMIFS(Budget[Actual],Budget[Category],$A11)</f>
        <v/>
      </c>
      <c r="D11" s="12">
        <f>SUMIFS(Budget[Variance],Budget[Category],$A11)</f>
        <v/>
      </c>
    </row>
    <row r="12">
      <c r="A12" s="11" t="inlineStr">
        <is>
          <t>Print and signage</t>
        </is>
      </c>
      <c r="B12" s="12">
        <f>SUMIFS(Budget[Budget],Budget[Category],$A12)</f>
        <v/>
      </c>
      <c r="C12" s="12">
        <f>SUMIFS(Budget[Actual],Budget[Category],$A12)</f>
        <v/>
      </c>
      <c r="D12" s="12">
        <f>SUMIFS(Budget[Variance],Budget[Category],$A12)</f>
        <v/>
      </c>
    </row>
    <row r="13">
      <c r="A13" s="11" t="inlineStr">
        <is>
          <t>Staff and crew</t>
        </is>
      </c>
      <c r="B13" s="12">
        <f>SUMIFS(Budget[Budget],Budget[Category],$A13)</f>
        <v/>
      </c>
      <c r="C13" s="12">
        <f>SUMIFS(Budget[Actual],Budget[Category],$A13)</f>
        <v/>
      </c>
      <c r="D13" s="12">
        <f>SUMIFS(Budget[Variance],Budget[Category],$A13)</f>
        <v/>
      </c>
    </row>
    <row r="14">
      <c r="A14" s="11" t="inlineStr">
        <is>
          <t>Contingency</t>
        </is>
      </c>
      <c r="B14" s="12">
        <f>SUMIFS(Budget[Budget],Budget[Category],$A14)</f>
        <v/>
      </c>
      <c r="C14" s="12">
        <f>SUMIFS(Budget[Actual],Budget[Category],$A14)</f>
        <v/>
      </c>
      <c r="D14" s="12">
        <f>SUMIFS(Budget[Variance],Budget[Category],$A14)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event budget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