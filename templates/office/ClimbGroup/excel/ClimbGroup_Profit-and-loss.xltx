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Profit and loss" sheetId="1" state="visible" r:id="rId1"/>
    <sheet xmlns:r="http://schemas.openxmlformats.org/officeDocument/2006/relationships" name="Summary" sheetId="2" state="visible" r:id="rId2"/>
  </sheets>
  <definedNames>
    <definedName name="_xlnm.Print_Titles" localSheetId="0">'Profit and loss'!$9:$9</definedName>
  </definedNames>
  <calcPr calcId="124519" fullCalcOnLoad="1"/>
</workbook>
</file>

<file path=xl/styles.xml><?xml version="1.0" encoding="utf-8"?>
<styleSheet xmlns="http://schemas.openxmlformats.org/spreadsheetml/2006/main">
  <numFmts count="3">
    <numFmt numFmtId="164" formatCode="yyyy-mm-dd"/>
    <numFmt numFmtId="165" formatCode="mmm yyyy"/>
    <numFmt numFmtId="166" formatCode="&quot;£&quot;#,##0;-&quot;£&quot;#,##0"/>
  </numFmts>
  <fonts count="8">
    <font>
      <name val="Calibri"/>
      <family val="2"/>
      <color theme="1"/>
      <sz val="11"/>
      <scheme val="minor"/>
    </font>
    <font>
      <name val="Open Sans"/>
      <color rgb="004A5878"/>
      <sz val="10"/>
    </font>
    <font>
      <name val="Open Sans"/>
      <b val="1"/>
      <color rgb="00C55308"/>
      <sz val="9"/>
    </font>
    <font>
      <name val="Montserrat ExtraBold"/>
      <color rgb="00242322"/>
      <sz val="20"/>
    </font>
    <font>
      <name val="Open Sans"/>
      <color rgb="004A5878"/>
      <sz val="10.5"/>
    </font>
    <font>
      <name val="Montserrat"/>
      <b val="1"/>
      <color rgb="00242322"/>
      <sz val="9"/>
    </font>
    <font>
      <name val="Montserrat"/>
      <b val="1"/>
      <color rgb="00FFFFFF"/>
      <sz val="9"/>
    </font>
    <font>
      <name val="Montserrat"/>
      <b val="1"/>
      <color rgb="00242322"/>
      <sz val="10"/>
    </font>
  </fonts>
  <fills count="4">
    <fill>
      <patternFill/>
    </fill>
    <fill>
      <patternFill patternType="gray125"/>
    </fill>
    <fill>
      <patternFill patternType="solid">
        <fgColor rgb="00E9E9E9"/>
      </patternFill>
    </fill>
    <fill>
      <patternFill patternType="solid">
        <fgColor rgb="001E0F05"/>
      </patternFill>
    </fill>
  </fills>
  <borders count="3">
    <border>
      <left/>
      <right/>
      <top/>
      <bottom/>
      <diagonal/>
    </border>
    <border>
      <top style="medium">
        <color rgb="00E8712A"/>
      </top>
    </border>
    <border>
      <top style="medium">
        <color rgb="00E8712A"/>
      </top>
      <bottom style="medium">
        <color rgb="00E8712A"/>
      </bottom>
    </border>
  </borders>
  <cellStyleXfs count="1">
    <xf numFmtId="0" fontId="1" fillId="0" borderId="0"/>
  </cellStyleXfs>
  <cellXfs count="18"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0" borderId="0" applyAlignment="1" pivotButton="0" quotePrefix="0" xfId="0">
      <alignment vertical="top"/>
    </xf>
    <xf numFmtId="165" fontId="1" fillId="2" borderId="0" applyAlignment="1" pivotButton="0" quotePrefix="0" xfId="0">
      <alignment vertical="top" wrapText="1"/>
    </xf>
    <xf numFmtId="0" fontId="6" fillId="3" borderId="0" applyAlignment="1" pivotButton="0" quotePrefix="0" xfId="0">
      <alignment vertical="center" wrapText="1"/>
    </xf>
    <xf numFmtId="165" fontId="6" fillId="3" borderId="0" applyAlignment="1" pivotButton="0" quotePrefix="0" xfId="0">
      <alignment horizontal="center" vertical="center"/>
    </xf>
    <xf numFmtId="0" fontId="5" fillId="0" borderId="0" pivotButton="0" quotePrefix="0" xfId="0"/>
    <xf numFmtId="0" fontId="1" fillId="2" borderId="0" applyAlignment="1" pivotButton="0" quotePrefix="0" xfId="0">
      <alignment vertical="top" wrapText="1"/>
    </xf>
    <xf numFmtId="166" fontId="1" fillId="2" borderId="0" applyAlignment="1" pivotButton="0" quotePrefix="0" xfId="0">
      <alignment vertical="top" wrapText="1"/>
    </xf>
    <xf numFmtId="166" fontId="1" fillId="0" borderId="0" applyAlignment="1" pivotButton="0" quotePrefix="0" xfId="0">
      <alignment vertical="top" wrapText="1"/>
    </xf>
    <xf numFmtId="0" fontId="7" fillId="0" borderId="1" pivotButton="0" quotePrefix="0" xfId="0"/>
    <xf numFmtId="166" fontId="7" fillId="0" borderId="1" applyAlignment="1" pivotButton="0" quotePrefix="0" xfId="0">
      <alignment vertical="top" wrapText="1"/>
    </xf>
    <xf numFmtId="0" fontId="5" fillId="0" borderId="2" pivotButton="0" quotePrefix="0" xfId="0"/>
    <xf numFmtId="166" fontId="7" fillId="0" borderId="2" applyAlignment="1" pivotButton="0" quotePrefix="0" xfId="0">
      <alignment vertical="top" wrapText="1"/>
    </xf>
    <xf numFmtId="9" fontId="1" fillId="0" borderId="0" applyAlignment="1" pivotButton="0" quotePrefix="0" xfId="0">
      <alignment vertical="top" wrapText="1"/>
    </xf>
    <xf numFmtId="165" fontId="1" fillId="0" borderId="0" applyAlignment="1" pivotButton="0" quotePrefix="0" xfId="0">
      <alignment vertical="top" wrapText="1"/>
    </xf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Revenue and net profit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'Summary'!B7</f>
            </strRef>
          </tx>
          <spPr>
            <a:solidFill xmlns:a="http://schemas.openxmlformats.org/drawingml/2006/main">
              <a:srgbClr val="E8712A"/>
            </a:solidFill>
            <a:ln xmlns:a="http://schemas.openxmlformats.org/drawingml/2006/main">
              <a:solidFill>
                <a:srgbClr val="E8712A"/>
              </a:solidFill>
              <a:prstDash val="solid"/>
            </a:ln>
          </spPr>
          <cat>
            <numRef>
              <f>'Summary'!$A$8:$A$19</f>
            </numRef>
          </cat>
          <val>
            <numRef>
              <f>'Summary'!$B$8:$B$19</f>
            </numRef>
          </val>
        </ser>
        <ser>
          <idx val="1"/>
          <order val="1"/>
          <tx>
            <strRef>
              <f>'Summary'!C7</f>
            </strRef>
          </tx>
          <spPr>
            <a:solidFill xmlns:a="http://schemas.openxmlformats.org/drawingml/2006/main">
              <a:srgbClr val="242322"/>
            </a:solidFill>
            <a:ln xmlns:a="http://schemas.openxmlformats.org/drawingml/2006/main">
              <a:solidFill>
                <a:srgbClr val="242322"/>
              </a:solidFill>
              <a:prstDash val="solid"/>
            </a:ln>
          </spPr>
          <cat>
            <numRef>
              <f>'Summary'!$A$8:$A$19</f>
            </numRef>
          </cat>
          <val>
            <numRef>
              <f>'Summary'!$C$8:$C$19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£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image" Target="/xl/media/image2.png" Id="rId2"/></Relationships>
</file>

<file path=xl/drawings/drawing1.xml><?xml version="1.0" encoding="utf-8"?>
<wsDr xmlns="http://schemas.openxmlformats.org/drawingml/2006/spreadsheetDrawing">
  <oneCellAnchor>
    <from>
      <col>0</col>
      <colOff>0</colOff>
      <row>0</row>
      <rowOff>0</rowOff>
    </from>
    <ext cx="12134850" cy="1209675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2.xml><?xml version="1.0" encoding="utf-8"?>
<wsDr xmlns="http://schemas.openxmlformats.org/drawingml/2006/spreadsheetDrawing">
  <oneCellAnchor>
    <from>
      <col>4</col>
      <colOff>0</colOff>
      <row>6</row>
      <rowOff>0</rowOff>
    </from>
    <ext cx="6480000" cy="288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0</col>
      <colOff>0</colOff>
      <row>0</row>
      <rowOff>0</rowOff>
    </from>
    <ext cx="7467600" cy="742950"/>
    <pic>
      <nvPicPr>
        <cNvPr id="2" name="Image 2" descr="Picture"/>
        <cNvPicPr/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heme/theme1.xml><?xml version="1.0" encoding="utf-8"?>
<a:theme xmlns:a="http://schemas.openxmlformats.org/drawingml/2006/main" name="ClimbGroup">
  <a:themeElements>
    <a:clrScheme name="ClimbGroup">
      <a:dk1>
        <a:srgbClr val="1E0F05"/>
      </a:dk1>
      <a:lt1>
        <a:srgbClr val="FFFFFF"/>
      </a:lt1>
      <a:dk2>
        <a:srgbClr val="242322"/>
      </a:dk2>
      <a:lt2>
        <a:srgbClr val="E9E9E9"/>
      </a:lt2>
      <a:accent1>
        <a:srgbClr val="E8712A"/>
      </a:accent1>
      <a:accent2>
        <a:srgbClr val="C55308"/>
      </a:accent2>
      <a:accent3>
        <a:srgbClr val="F2AE86"/>
      </a:accent3>
      <a:accent4>
        <a:srgbClr val="8D4419"/>
      </a:accent4>
      <a:accent5>
        <a:srgbClr val="4A5878"/>
      </a:accent5>
      <a:accent6>
        <a:srgbClr val="B04902"/>
      </a:accent6>
      <a:hlink>
        <a:srgbClr val="8D4419"/>
      </a:hlink>
      <a:folHlink>
        <a:srgbClr val="8D4419"/>
      </a:folHlink>
    </a:clrScheme>
    <a:fontScheme name="ClimbGroup">
      <a:majorFont>
        <a:latin typeface="Montserrat"/>
        <a:ea typeface=""/>
        <a:cs typeface=""/>
      </a:majorFont>
      <a:minorFont>
        <a:latin typeface="Open Sans"/>
        <a:ea typeface=""/>
        <a:cs typeface=""/>
      </a:minorFont>
    </a:fontScheme>
    <a:fmtScheme name="ClimbUK"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381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152400" dist="38100" dir="5400000" algn="t" rotWithShape="0">
              <a:srgbClr val="1E0F05">
                <a:alpha val="18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N35"/>
  <sheetViews>
    <sheetView showGridLines="0" workbookViewId="0">
      <pane xSplit="1" ySplit="9" topLeftCell="B10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30" customWidth="1" min="1" max="1"/>
    <col width="11" customWidth="1" min="2" max="2"/>
    <col width="11" customWidth="1" min="3" max="3"/>
    <col width="11" customWidth="1" min="4" max="4"/>
    <col width="11" customWidth="1" min="5" max="5"/>
    <col width="11" customWidth="1" min="6" max="6"/>
    <col width="11" customWidth="1" min="7" max="7"/>
    <col width="11" customWidth="1" min="8" max="8"/>
    <col width="11" customWidth="1" min="9" max="9"/>
    <col width="11" customWidth="1" min="10" max="10"/>
    <col width="11" customWidth="1" min="11" max="11"/>
    <col width="11" customWidth="1" min="12" max="12"/>
    <col width="11" customWidth="1" min="13" max="13"/>
    <col width="11" customWidth="1" min="14" max="14"/>
    <col width="4" customWidth="1" min="15" max="15"/>
  </cols>
  <sheetData>
    <row r="1" ht="95.25" customHeight="1"/>
    <row r="3">
      <c r="A3" s="1" t="inlineStr">
        <is>
          <t>PROFIT AND LOSS</t>
        </is>
      </c>
    </row>
    <row r="4" ht="30" customHeight="1">
      <c r="A4" s="2" t="inlineStr">
        <is>
          <t>PROFIT AND LOSS TRACKER</t>
        </is>
      </c>
    </row>
    <row r="5">
      <c r="A5" s="3" t="inlineStr">
        <is>
          <t>Actuals by month. Gross profit is revenue less cost of sales; net profit takes off overheads.</t>
        </is>
      </c>
    </row>
    <row r="7">
      <c r="A7" s="4" t="inlineStr">
        <is>
          <t>First month</t>
        </is>
      </c>
      <c r="B7" s="5" t="n">
        <v>46388</v>
      </c>
    </row>
    <row r="9" ht="24" customHeight="1">
      <c r="A9" s="6" t="inlineStr"/>
      <c r="B9" s="7">
        <f>B7</f>
        <v/>
      </c>
      <c r="C9" s="7">
        <f>EDATE(B9,1)</f>
        <v/>
      </c>
      <c r="D9" s="7">
        <f>EDATE(C9,1)</f>
        <v/>
      </c>
      <c r="E9" s="7">
        <f>EDATE(D9,1)</f>
        <v/>
      </c>
      <c r="F9" s="7">
        <f>EDATE(E9,1)</f>
        <v/>
      </c>
      <c r="G9" s="7">
        <f>EDATE(F9,1)</f>
        <v/>
      </c>
      <c r="H9" s="7">
        <f>EDATE(G9,1)</f>
        <v/>
      </c>
      <c r="I9" s="7">
        <f>EDATE(H9,1)</f>
        <v/>
      </c>
      <c r="J9" s="7">
        <f>EDATE(I9,1)</f>
        <v/>
      </c>
      <c r="K9" s="7">
        <f>EDATE(J9,1)</f>
        <v/>
      </c>
      <c r="L9" s="7">
        <f>EDATE(K9,1)</f>
        <v/>
      </c>
      <c r="M9" s="7">
        <f>EDATE(L9,1)</f>
        <v/>
      </c>
      <c r="N9" s="6" t="inlineStr">
        <is>
          <t>Total</t>
        </is>
      </c>
    </row>
    <row r="10">
      <c r="A10" s="8" t="inlineStr">
        <is>
          <t>Revenue</t>
        </is>
      </c>
    </row>
    <row r="11">
      <c r="A11" s="9" t="inlineStr">
        <is>
          <t>Tickets</t>
        </is>
      </c>
      <c r="B11" s="10" t="n">
        <v>0</v>
      </c>
      <c r="C11" s="10" t="n">
        <v>0</v>
      </c>
      <c r="D11" s="10" t="n">
        <v>0</v>
      </c>
      <c r="E11" s="10" t="n">
        <v>0</v>
      </c>
      <c r="F11" s="10" t="n">
        <v>0</v>
      </c>
      <c r="G11" s="10" t="n">
        <v>0</v>
      </c>
      <c r="H11" s="10" t="n">
        <v>0</v>
      </c>
      <c r="I11" s="10" t="n">
        <v>0</v>
      </c>
      <c r="J11" s="10" t="n">
        <v>0</v>
      </c>
      <c r="K11" s="10" t="n">
        <v>0</v>
      </c>
      <c r="L11" s="10" t="n">
        <v>0</v>
      </c>
      <c r="M11" s="10" t="n">
        <v>0</v>
      </c>
      <c r="N11" s="11">
        <f>SUM(B11:M11)</f>
        <v/>
      </c>
    </row>
    <row r="12">
      <c r="A12" s="9" t="inlineStr">
        <is>
          <t>Partnerships</t>
        </is>
      </c>
      <c r="B12" s="10" t="n">
        <v>0</v>
      </c>
      <c r="C12" s="10" t="n">
        <v>0</v>
      </c>
      <c r="D12" s="10" t="n">
        <v>0</v>
      </c>
      <c r="E12" s="10" t="n">
        <v>0</v>
      </c>
      <c r="F12" s="10" t="n">
        <v>0</v>
      </c>
      <c r="G12" s="10" t="n">
        <v>0</v>
      </c>
      <c r="H12" s="10" t="n">
        <v>0</v>
      </c>
      <c r="I12" s="10" t="n">
        <v>0</v>
      </c>
      <c r="J12" s="10" t="n">
        <v>0</v>
      </c>
      <c r="K12" s="10" t="n">
        <v>0</v>
      </c>
      <c r="L12" s="10" t="n">
        <v>0</v>
      </c>
      <c r="M12" s="10" t="n">
        <v>0</v>
      </c>
      <c r="N12" s="11">
        <f>SUM(B12:M12)</f>
        <v/>
      </c>
    </row>
    <row r="13">
      <c r="A13" s="9" t="inlineStr">
        <is>
          <t>Exhibitors</t>
        </is>
      </c>
      <c r="B13" s="10" t="n">
        <v>0</v>
      </c>
      <c r="C13" s="10" t="n">
        <v>0</v>
      </c>
      <c r="D13" s="10" t="n">
        <v>0</v>
      </c>
      <c r="E13" s="10" t="n">
        <v>0</v>
      </c>
      <c r="F13" s="10" t="n">
        <v>0</v>
      </c>
      <c r="G13" s="10" t="n">
        <v>0</v>
      </c>
      <c r="H13" s="10" t="n">
        <v>0</v>
      </c>
      <c r="I13" s="10" t="n">
        <v>0</v>
      </c>
      <c r="J13" s="10" t="n">
        <v>0</v>
      </c>
      <c r="K13" s="10" t="n">
        <v>0</v>
      </c>
      <c r="L13" s="10" t="n">
        <v>0</v>
      </c>
      <c r="M13" s="10" t="n">
        <v>0</v>
      </c>
      <c r="N13" s="11">
        <f>SUM(B13:M13)</f>
        <v/>
      </c>
    </row>
    <row r="14">
      <c r="A14" s="9" t="inlineStr">
        <is>
          <t>Other revenue</t>
        </is>
      </c>
      <c r="B14" s="10" t="n">
        <v>0</v>
      </c>
      <c r="C14" s="10" t="n">
        <v>0</v>
      </c>
      <c r="D14" s="10" t="n">
        <v>0</v>
      </c>
      <c r="E14" s="10" t="n">
        <v>0</v>
      </c>
      <c r="F14" s="10" t="n">
        <v>0</v>
      </c>
      <c r="G14" s="10" t="n">
        <v>0</v>
      </c>
      <c r="H14" s="10" t="n">
        <v>0</v>
      </c>
      <c r="I14" s="10" t="n">
        <v>0</v>
      </c>
      <c r="J14" s="10" t="n">
        <v>0</v>
      </c>
      <c r="K14" s="10" t="n">
        <v>0</v>
      </c>
      <c r="L14" s="10" t="n">
        <v>0</v>
      </c>
      <c r="M14" s="10" t="n">
        <v>0</v>
      </c>
      <c r="N14" s="11">
        <f>SUM(B14:M14)</f>
        <v/>
      </c>
    </row>
    <row r="15">
      <c r="A15" s="12" t="inlineStr">
        <is>
          <t>Total revenue</t>
        </is>
      </c>
      <c r="B15" s="13">
        <f>SUM(B11:B14)</f>
        <v/>
      </c>
      <c r="C15" s="13">
        <f>SUM(C11:C14)</f>
        <v/>
      </c>
      <c r="D15" s="13">
        <f>SUM(D11:D14)</f>
        <v/>
      </c>
      <c r="E15" s="13">
        <f>SUM(E11:E14)</f>
        <v/>
      </c>
      <c r="F15" s="13">
        <f>SUM(F11:F14)</f>
        <v/>
      </c>
      <c r="G15" s="13">
        <f>SUM(G11:G14)</f>
        <v/>
      </c>
      <c r="H15" s="13">
        <f>SUM(H11:H14)</f>
        <v/>
      </c>
      <c r="I15" s="13">
        <f>SUM(I11:I14)</f>
        <v/>
      </c>
      <c r="J15" s="13">
        <f>SUM(J11:J14)</f>
        <v/>
      </c>
      <c r="K15" s="13">
        <f>SUM(K11:K14)</f>
        <v/>
      </c>
      <c r="L15" s="13">
        <f>SUM(L11:L14)</f>
        <v/>
      </c>
      <c r="M15" s="13">
        <f>SUM(M11:M14)</f>
        <v/>
      </c>
      <c r="N15" s="13">
        <f>SUM(N11:N14)</f>
        <v/>
      </c>
    </row>
    <row r="17">
      <c r="A17" s="8" t="inlineStr">
        <is>
          <t>Cost of sales</t>
        </is>
      </c>
    </row>
    <row r="18">
      <c r="A18" s="9" t="inlineStr">
        <is>
          <t>Production</t>
        </is>
      </c>
      <c r="B18" s="10" t="n">
        <v>0</v>
      </c>
      <c r="C18" s="10" t="n">
        <v>0</v>
      </c>
      <c r="D18" s="10" t="n">
        <v>0</v>
      </c>
      <c r="E18" s="10" t="n">
        <v>0</v>
      </c>
      <c r="F18" s="10" t="n">
        <v>0</v>
      </c>
      <c r="G18" s="10" t="n">
        <v>0</v>
      </c>
      <c r="H18" s="10" t="n">
        <v>0</v>
      </c>
      <c r="I18" s="10" t="n">
        <v>0</v>
      </c>
      <c r="J18" s="10" t="n">
        <v>0</v>
      </c>
      <c r="K18" s="10" t="n">
        <v>0</v>
      </c>
      <c r="L18" s="10" t="n">
        <v>0</v>
      </c>
      <c r="M18" s="10" t="n">
        <v>0</v>
      </c>
      <c r="N18" s="11">
        <f>SUM(B18:M18)</f>
        <v/>
      </c>
    </row>
    <row r="19">
      <c r="A19" s="9" t="inlineStr">
        <is>
          <t>Speakers and content</t>
        </is>
      </c>
      <c r="B19" s="10" t="n">
        <v>0</v>
      </c>
      <c r="C19" s="10" t="n">
        <v>0</v>
      </c>
      <c r="D19" s="10" t="n">
        <v>0</v>
      </c>
      <c r="E19" s="10" t="n">
        <v>0</v>
      </c>
      <c r="F19" s="10" t="n">
        <v>0</v>
      </c>
      <c r="G19" s="10" t="n">
        <v>0</v>
      </c>
      <c r="H19" s="10" t="n">
        <v>0</v>
      </c>
      <c r="I19" s="10" t="n">
        <v>0</v>
      </c>
      <c r="J19" s="10" t="n">
        <v>0</v>
      </c>
      <c r="K19" s="10" t="n">
        <v>0</v>
      </c>
      <c r="L19" s="10" t="n">
        <v>0</v>
      </c>
      <c r="M19" s="10" t="n">
        <v>0</v>
      </c>
      <c r="N19" s="11">
        <f>SUM(B19:M19)</f>
        <v/>
      </c>
    </row>
    <row r="20">
      <c r="A20" s="9" t="inlineStr">
        <is>
          <t>Catering</t>
        </is>
      </c>
      <c r="B20" s="10" t="n">
        <v>0</v>
      </c>
      <c r="C20" s="10" t="n">
        <v>0</v>
      </c>
      <c r="D20" s="10" t="n">
        <v>0</v>
      </c>
      <c r="E20" s="10" t="n">
        <v>0</v>
      </c>
      <c r="F20" s="10" t="n">
        <v>0</v>
      </c>
      <c r="G20" s="10" t="n">
        <v>0</v>
      </c>
      <c r="H20" s="10" t="n">
        <v>0</v>
      </c>
      <c r="I20" s="10" t="n">
        <v>0</v>
      </c>
      <c r="J20" s="10" t="n">
        <v>0</v>
      </c>
      <c r="K20" s="10" t="n">
        <v>0</v>
      </c>
      <c r="L20" s="10" t="n">
        <v>0</v>
      </c>
      <c r="M20" s="10" t="n">
        <v>0</v>
      </c>
      <c r="N20" s="11">
        <f>SUM(B20:M20)</f>
        <v/>
      </c>
    </row>
    <row r="21">
      <c r="A21" s="9" t="inlineStr">
        <is>
          <t>Print and signage</t>
        </is>
      </c>
      <c r="B21" s="10" t="n">
        <v>0</v>
      </c>
      <c r="C21" s="10" t="n">
        <v>0</v>
      </c>
      <c r="D21" s="10" t="n">
        <v>0</v>
      </c>
      <c r="E21" s="10" t="n">
        <v>0</v>
      </c>
      <c r="F21" s="10" t="n">
        <v>0</v>
      </c>
      <c r="G21" s="10" t="n">
        <v>0</v>
      </c>
      <c r="H21" s="10" t="n">
        <v>0</v>
      </c>
      <c r="I21" s="10" t="n">
        <v>0</v>
      </c>
      <c r="J21" s="10" t="n">
        <v>0</v>
      </c>
      <c r="K21" s="10" t="n">
        <v>0</v>
      </c>
      <c r="L21" s="10" t="n">
        <v>0</v>
      </c>
      <c r="M21" s="10" t="n">
        <v>0</v>
      </c>
      <c r="N21" s="11">
        <f>SUM(B21:M21)</f>
        <v/>
      </c>
    </row>
    <row r="22">
      <c r="A22" s="12" t="inlineStr">
        <is>
          <t>Total cost of sales</t>
        </is>
      </c>
      <c r="B22" s="13">
        <f>SUM(B18:B21)</f>
        <v/>
      </c>
      <c r="C22" s="13">
        <f>SUM(C18:C21)</f>
        <v/>
      </c>
      <c r="D22" s="13">
        <f>SUM(D18:D21)</f>
        <v/>
      </c>
      <c r="E22" s="13">
        <f>SUM(E18:E21)</f>
        <v/>
      </c>
      <c r="F22" s="13">
        <f>SUM(F18:F21)</f>
        <v/>
      </c>
      <c r="G22" s="13">
        <f>SUM(G18:G21)</f>
        <v/>
      </c>
      <c r="H22" s="13">
        <f>SUM(H18:H21)</f>
        <v/>
      </c>
      <c r="I22" s="13">
        <f>SUM(I18:I21)</f>
        <v/>
      </c>
      <c r="J22" s="13">
        <f>SUM(J18:J21)</f>
        <v/>
      </c>
      <c r="K22" s="13">
        <f>SUM(K18:K21)</f>
        <v/>
      </c>
      <c r="L22" s="13">
        <f>SUM(L18:L21)</f>
        <v/>
      </c>
      <c r="M22" s="13">
        <f>SUM(M18:M21)</f>
        <v/>
      </c>
      <c r="N22" s="13">
        <f>SUM(N18:N21)</f>
        <v/>
      </c>
    </row>
    <row r="24">
      <c r="A24" s="8" t="inlineStr">
        <is>
          <t>Overheads</t>
        </is>
      </c>
    </row>
    <row r="25">
      <c r="A25" s="9" t="inlineStr">
        <is>
          <t>People</t>
        </is>
      </c>
      <c r="B25" s="10" t="n">
        <v>0</v>
      </c>
      <c r="C25" s="10" t="n">
        <v>0</v>
      </c>
      <c r="D25" s="10" t="n">
        <v>0</v>
      </c>
      <c r="E25" s="10" t="n">
        <v>0</v>
      </c>
      <c r="F25" s="10" t="n">
        <v>0</v>
      </c>
      <c r="G25" s="10" t="n">
        <v>0</v>
      </c>
      <c r="H25" s="10" t="n">
        <v>0</v>
      </c>
      <c r="I25" s="10" t="n">
        <v>0</v>
      </c>
      <c r="J25" s="10" t="n">
        <v>0</v>
      </c>
      <c r="K25" s="10" t="n">
        <v>0</v>
      </c>
      <c r="L25" s="10" t="n">
        <v>0</v>
      </c>
      <c r="M25" s="10" t="n">
        <v>0</v>
      </c>
      <c r="N25" s="11">
        <f>SUM(B25:M25)</f>
        <v/>
      </c>
    </row>
    <row r="26">
      <c r="A26" s="9" t="inlineStr">
        <is>
          <t>Marketing</t>
        </is>
      </c>
      <c r="B26" s="10" t="n">
        <v>0</v>
      </c>
      <c r="C26" s="10" t="n">
        <v>0</v>
      </c>
      <c r="D26" s="10" t="n">
        <v>0</v>
      </c>
      <c r="E26" s="10" t="n">
        <v>0</v>
      </c>
      <c r="F26" s="10" t="n">
        <v>0</v>
      </c>
      <c r="G26" s="10" t="n">
        <v>0</v>
      </c>
      <c r="H26" s="10" t="n">
        <v>0</v>
      </c>
      <c r="I26" s="10" t="n">
        <v>0</v>
      </c>
      <c r="J26" s="10" t="n">
        <v>0</v>
      </c>
      <c r="K26" s="10" t="n">
        <v>0</v>
      </c>
      <c r="L26" s="10" t="n">
        <v>0</v>
      </c>
      <c r="M26" s="10" t="n">
        <v>0</v>
      </c>
      <c r="N26" s="11">
        <f>SUM(B26:M26)</f>
        <v/>
      </c>
    </row>
    <row r="27">
      <c r="A27" s="9" t="inlineStr">
        <is>
          <t>Office and systems</t>
        </is>
      </c>
      <c r="B27" s="10" t="n">
        <v>0</v>
      </c>
      <c r="C27" s="10" t="n">
        <v>0</v>
      </c>
      <c r="D27" s="10" t="n">
        <v>0</v>
      </c>
      <c r="E27" s="10" t="n">
        <v>0</v>
      </c>
      <c r="F27" s="10" t="n">
        <v>0</v>
      </c>
      <c r="G27" s="10" t="n">
        <v>0</v>
      </c>
      <c r="H27" s="10" t="n">
        <v>0</v>
      </c>
      <c r="I27" s="10" t="n">
        <v>0</v>
      </c>
      <c r="J27" s="10" t="n">
        <v>0</v>
      </c>
      <c r="K27" s="10" t="n">
        <v>0</v>
      </c>
      <c r="L27" s="10" t="n">
        <v>0</v>
      </c>
      <c r="M27" s="10" t="n">
        <v>0</v>
      </c>
      <c r="N27" s="11">
        <f>SUM(B27:M27)</f>
        <v/>
      </c>
    </row>
    <row r="28">
      <c r="A28" s="9" t="inlineStr">
        <is>
          <t>Professional fees</t>
        </is>
      </c>
      <c r="B28" s="10" t="n">
        <v>0</v>
      </c>
      <c r="C28" s="10" t="n">
        <v>0</v>
      </c>
      <c r="D28" s="10" t="n">
        <v>0</v>
      </c>
      <c r="E28" s="10" t="n">
        <v>0</v>
      </c>
      <c r="F28" s="10" t="n">
        <v>0</v>
      </c>
      <c r="G28" s="10" t="n">
        <v>0</v>
      </c>
      <c r="H28" s="10" t="n">
        <v>0</v>
      </c>
      <c r="I28" s="10" t="n">
        <v>0</v>
      </c>
      <c r="J28" s="10" t="n">
        <v>0</v>
      </c>
      <c r="K28" s="10" t="n">
        <v>0</v>
      </c>
      <c r="L28" s="10" t="n">
        <v>0</v>
      </c>
      <c r="M28" s="10" t="n">
        <v>0</v>
      </c>
      <c r="N28" s="11">
        <f>SUM(B28:M28)</f>
        <v/>
      </c>
    </row>
    <row r="29">
      <c r="A29" s="9" t="inlineStr">
        <is>
          <t>Other overheads</t>
        </is>
      </c>
      <c r="B29" s="10" t="n">
        <v>0</v>
      </c>
      <c r="C29" s="10" t="n">
        <v>0</v>
      </c>
      <c r="D29" s="10" t="n">
        <v>0</v>
      </c>
      <c r="E29" s="10" t="n">
        <v>0</v>
      </c>
      <c r="F29" s="10" t="n">
        <v>0</v>
      </c>
      <c r="G29" s="10" t="n">
        <v>0</v>
      </c>
      <c r="H29" s="10" t="n">
        <v>0</v>
      </c>
      <c r="I29" s="10" t="n">
        <v>0</v>
      </c>
      <c r="J29" s="10" t="n">
        <v>0</v>
      </c>
      <c r="K29" s="10" t="n">
        <v>0</v>
      </c>
      <c r="L29" s="10" t="n">
        <v>0</v>
      </c>
      <c r="M29" s="10" t="n">
        <v>0</v>
      </c>
      <c r="N29" s="11">
        <f>SUM(B29:M29)</f>
        <v/>
      </c>
    </row>
    <row r="30">
      <c r="A30" s="12" t="inlineStr">
        <is>
          <t>Total overheads</t>
        </is>
      </c>
      <c r="B30" s="13">
        <f>SUM(B25:B29)</f>
        <v/>
      </c>
      <c r="C30" s="13">
        <f>SUM(C25:C29)</f>
        <v/>
      </c>
      <c r="D30" s="13">
        <f>SUM(D25:D29)</f>
        <v/>
      </c>
      <c r="E30" s="13">
        <f>SUM(E25:E29)</f>
        <v/>
      </c>
      <c r="F30" s="13">
        <f>SUM(F25:F29)</f>
        <v/>
      </c>
      <c r="G30" s="13">
        <f>SUM(G25:G29)</f>
        <v/>
      </c>
      <c r="H30" s="13">
        <f>SUM(H25:H29)</f>
        <v/>
      </c>
      <c r="I30" s="13">
        <f>SUM(I25:I29)</f>
        <v/>
      </c>
      <c r="J30" s="13">
        <f>SUM(J25:J29)</f>
        <v/>
      </c>
      <c r="K30" s="13">
        <f>SUM(K25:K29)</f>
        <v/>
      </c>
      <c r="L30" s="13">
        <f>SUM(L25:L29)</f>
        <v/>
      </c>
      <c r="M30" s="13">
        <f>SUM(M25:M29)</f>
        <v/>
      </c>
      <c r="N30" s="13">
        <f>SUM(N25:N29)</f>
        <v/>
      </c>
    </row>
    <row r="32">
      <c r="A32" s="14" t="inlineStr">
        <is>
          <t>Gross profit</t>
        </is>
      </c>
      <c r="B32" s="15">
        <f>B15-B22</f>
        <v/>
      </c>
      <c r="C32" s="15">
        <f>C15-C22</f>
        <v/>
      </c>
      <c r="D32" s="15">
        <f>D15-D22</f>
        <v/>
      </c>
      <c r="E32" s="15">
        <f>E15-E22</f>
        <v/>
      </c>
      <c r="F32" s="15">
        <f>F15-F22</f>
        <v/>
      </c>
      <c r="G32" s="15">
        <f>G15-G22</f>
        <v/>
      </c>
      <c r="H32" s="15">
        <f>H15-H22</f>
        <v/>
      </c>
      <c r="I32" s="15">
        <f>I15-I22</f>
        <v/>
      </c>
      <c r="J32" s="15">
        <f>J15-J22</f>
        <v/>
      </c>
      <c r="K32" s="15">
        <f>K15-K22</f>
        <v/>
      </c>
      <c r="L32" s="15">
        <f>L15-L22</f>
        <v/>
      </c>
      <c r="M32" s="15">
        <f>M15-M22</f>
        <v/>
      </c>
      <c r="N32" s="15">
        <f>N15-N22</f>
        <v/>
      </c>
    </row>
    <row r="33">
      <c r="A33" s="8" t="inlineStr">
        <is>
          <t>Gross margin</t>
        </is>
      </c>
      <c r="B33" s="16">
        <f>IF(B15=0,"",B32/B15)</f>
        <v/>
      </c>
      <c r="C33" s="16">
        <f>IF(C15=0,"",C32/C15)</f>
        <v/>
      </c>
      <c r="D33" s="16">
        <f>IF(D15=0,"",D32/D15)</f>
        <v/>
      </c>
      <c r="E33" s="16">
        <f>IF(E15=0,"",E32/E15)</f>
        <v/>
      </c>
      <c r="F33" s="16">
        <f>IF(F15=0,"",F32/F15)</f>
        <v/>
      </c>
      <c r="G33" s="16">
        <f>IF(G15=0,"",G32/G15)</f>
        <v/>
      </c>
      <c r="H33" s="16">
        <f>IF(H15=0,"",H32/H15)</f>
        <v/>
      </c>
      <c r="I33" s="16">
        <f>IF(I15=0,"",I32/I15)</f>
        <v/>
      </c>
      <c r="J33" s="16">
        <f>IF(J15=0,"",J32/J15)</f>
        <v/>
      </c>
      <c r="K33" s="16">
        <f>IF(K15=0,"",K32/K15)</f>
        <v/>
      </c>
      <c r="L33" s="16">
        <f>IF(L15=0,"",L32/L15)</f>
        <v/>
      </c>
      <c r="M33" s="16">
        <f>IF(M15=0,"",M32/M15)</f>
        <v/>
      </c>
      <c r="N33" s="16">
        <f>IF(N15=0,"",N32/N15)</f>
        <v/>
      </c>
    </row>
    <row r="35">
      <c r="A35" s="14" t="inlineStr">
        <is>
          <t>Net profit</t>
        </is>
      </c>
      <c r="B35" s="15">
        <f>B32-B30</f>
        <v/>
      </c>
      <c r="C35" s="15">
        <f>C32-C30</f>
        <v/>
      </c>
      <c r="D35" s="15">
        <f>D32-D30</f>
        <v/>
      </c>
      <c r="E35" s="15">
        <f>E32-E30</f>
        <v/>
      </c>
      <c r="F35" s="15">
        <f>F32-F30</f>
        <v/>
      </c>
      <c r="G35" s="15">
        <f>G32-G30</f>
        <v/>
      </c>
      <c r="H35" s="15">
        <f>H32-H30</f>
        <v/>
      </c>
      <c r="I35" s="15">
        <f>I32-I30</f>
        <v/>
      </c>
      <c r="J35" s="15">
        <f>J32-J30</f>
        <v/>
      </c>
      <c r="K35" s="15">
        <f>K32-K30</f>
        <v/>
      </c>
      <c r="L35" s="15">
        <f>L32-L30</f>
        <v/>
      </c>
      <c r="M35" s="15">
        <f>M32-M30</f>
        <v/>
      </c>
      <c r="N35" s="15">
        <f>N32-N30</f>
        <v/>
      </c>
    </row>
  </sheetData>
  <pageMargins left="0.75" right="0.75" top="1" bottom="1" header="0.5" footer="0.5"/>
  <pageSetup orientation="landscape" paperSize="9" fitToHeight="0" fitToWidth="1"/>
  <headerFooter>
    <oddHeader/>
    <oddFooter>&amp;L&amp;"Open Sans"climb-group.com&amp;R&amp;"Open Sans"Page &amp;P of &amp;N</oddFooter>
    <evenHeader/>
    <evenFooter/>
    <firstHeader/>
    <firstFooter/>
  </headerFooter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C19"/>
  <sheetViews>
    <sheetView showGridLines="0" workbookViewId="0">
      <selection activeCell="A1" sqref="A1"/>
    </sheetView>
  </sheetViews>
  <sheetFormatPr baseColWidth="8" defaultRowHeight="15"/>
  <cols>
    <col width="16" customWidth="1" min="1" max="1"/>
    <col width="14" customWidth="1" min="2" max="2"/>
    <col width="14" customWidth="1" min="3" max="3"/>
    <col width="13" customWidth="1" min="4" max="4"/>
    <col width="13" customWidth="1" min="5" max="5"/>
    <col width="13" customWidth="1" min="6" max="6"/>
    <col width="13" customWidth="1" min="7" max="7"/>
    <col width="13" customWidth="1" min="8" max="8"/>
  </cols>
  <sheetData>
    <row r="1" ht="58.5" customHeight="1"/>
    <row r="3">
      <c r="A3" s="1" t="inlineStr">
        <is>
          <t>SUMMARY</t>
        </is>
      </c>
    </row>
    <row r="4" ht="30" customHeight="1">
      <c r="A4" s="2" t="inlineStr">
        <is>
          <t>REVENUE AND NET PROFIT BY MONTH</t>
        </is>
      </c>
    </row>
    <row r="5">
      <c r="A5" s="3" t="inlineStr"/>
    </row>
    <row r="7" ht="26" customHeight="1">
      <c r="A7" s="6" t="inlineStr">
        <is>
          <t>Month</t>
        </is>
      </c>
      <c r="B7" s="6" t="inlineStr">
        <is>
          <t>Revenue</t>
        </is>
      </c>
      <c r="C7" s="6" t="inlineStr">
        <is>
          <t>Net profit</t>
        </is>
      </c>
    </row>
    <row r="8">
      <c r="A8" s="17">
        <f>'Profit and loss'!B9</f>
        <v/>
      </c>
      <c r="B8" s="11">
        <f>'Profit and loss'!B15</f>
        <v/>
      </c>
      <c r="C8" s="11">
        <f>'Profit and loss'!B35</f>
        <v/>
      </c>
    </row>
    <row r="9">
      <c r="A9" s="17">
        <f>'Profit and loss'!C9</f>
        <v/>
      </c>
      <c r="B9" s="11">
        <f>'Profit and loss'!C15</f>
        <v/>
      </c>
      <c r="C9" s="11">
        <f>'Profit and loss'!C35</f>
        <v/>
      </c>
    </row>
    <row r="10">
      <c r="A10" s="17">
        <f>'Profit and loss'!D9</f>
        <v/>
      </c>
      <c r="B10" s="11">
        <f>'Profit and loss'!D15</f>
        <v/>
      </c>
      <c r="C10" s="11">
        <f>'Profit and loss'!D35</f>
        <v/>
      </c>
    </row>
    <row r="11">
      <c r="A11" s="17">
        <f>'Profit and loss'!E9</f>
        <v/>
      </c>
      <c r="B11" s="11">
        <f>'Profit and loss'!E15</f>
        <v/>
      </c>
      <c r="C11" s="11">
        <f>'Profit and loss'!E35</f>
        <v/>
      </c>
    </row>
    <row r="12">
      <c r="A12" s="17">
        <f>'Profit and loss'!F9</f>
        <v/>
      </c>
      <c r="B12" s="11">
        <f>'Profit and loss'!F15</f>
        <v/>
      </c>
      <c r="C12" s="11">
        <f>'Profit and loss'!F35</f>
        <v/>
      </c>
    </row>
    <row r="13">
      <c r="A13" s="17">
        <f>'Profit and loss'!G9</f>
        <v/>
      </c>
      <c r="B13" s="11">
        <f>'Profit and loss'!G15</f>
        <v/>
      </c>
      <c r="C13" s="11">
        <f>'Profit and loss'!G35</f>
        <v/>
      </c>
    </row>
    <row r="14">
      <c r="A14" s="17">
        <f>'Profit and loss'!H9</f>
        <v/>
      </c>
      <c r="B14" s="11">
        <f>'Profit and loss'!H15</f>
        <v/>
      </c>
      <c r="C14" s="11">
        <f>'Profit and loss'!H35</f>
        <v/>
      </c>
    </row>
    <row r="15">
      <c r="A15" s="17">
        <f>'Profit and loss'!I9</f>
        <v/>
      </c>
      <c r="B15" s="11">
        <f>'Profit and loss'!I15</f>
        <v/>
      </c>
      <c r="C15" s="11">
        <f>'Profit and loss'!I35</f>
        <v/>
      </c>
    </row>
    <row r="16">
      <c r="A16" s="17">
        <f>'Profit and loss'!J9</f>
        <v/>
      </c>
      <c r="B16" s="11">
        <f>'Profit and loss'!J15</f>
        <v/>
      </c>
      <c r="C16" s="11">
        <f>'Profit and loss'!J35</f>
        <v/>
      </c>
    </row>
    <row r="17">
      <c r="A17" s="17">
        <f>'Profit and loss'!K9</f>
        <v/>
      </c>
      <c r="B17" s="11">
        <f>'Profit and loss'!K15</f>
        <v/>
      </c>
      <c r="C17" s="11">
        <f>'Profit and loss'!K35</f>
        <v/>
      </c>
    </row>
    <row r="18">
      <c r="A18" s="17">
        <f>'Profit and loss'!L9</f>
        <v/>
      </c>
      <c r="B18" s="11">
        <f>'Profit and loss'!L15</f>
        <v/>
      </c>
      <c r="C18" s="11">
        <f>'Profit and loss'!L35</f>
        <v/>
      </c>
    </row>
    <row r="19">
      <c r="A19" s="17">
        <f>'Profit and loss'!M9</f>
        <v/>
      </c>
      <c r="B19" s="11">
        <f>'Profit and loss'!M15</f>
        <v/>
      </c>
      <c r="C19" s="11">
        <f>'Profit and loss'!M35</f>
        <v/>
      </c>
    </row>
  </sheetData>
  <pageMargins left="0.75" right="0.75" top="1" bottom="1" header="0.5" footer="0.5"/>
  <pageSetup orientation="landscape" paperSize="9" fitToHeight="0" fitToWidth="1"/>
  <headerFooter>
    <oddHeader/>
    <oddFooter>&amp;L&amp;"Open Sans"climb-group.com&amp;R&amp;"Open Sans"Page &amp;P of &amp;N</oddFooter>
    <evenHeader/>
    <evenFooter/>
    <firstHeader/>
    <firstFooter/>
  </headerFooter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ClimbGroup</dc:creator>
  <dc:title xmlns:dc="http://purl.org/dc/elements/1.1/">ClimbGroup profit and loss tracker</dc:title>
  <dc:language xmlns:dc="http://purl.org/dc/elements/1.1/">en-GB</dc:language>
  <dcterms:created xmlns:dcterms="http://purl.org/dc/terms/" xmlns:xsi="http://www.w3.org/2001/XMLSchema-instance" xsi:type="dcterms:W3CDTF">2026-10-12T22:59:14Z</dcterms:created>
  <dcterms:modified xmlns:dcterms="http://purl.org/dc/terms/" xmlns:xsi="http://www.w3.org/2001/XMLSchema-instance" xsi:type="dcterms:W3CDTF">2026-10-12T22:59:14Z</dcterms:modified>
</cp:coreProperties>
</file>