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Dashboard" sheetId="1" state="visible" r:id="rId1"/>
    <sheet xmlns:r="http://schemas.openxmlformats.org/officeDocument/2006/relationships" name="Inputs" sheetId="2" state="visible" r:id="rId2"/>
  </sheets>
  <definedNames>
    <definedName name="_xlnm.Print_Titles" localSheetId="1">'Inputs'!$7:$7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"/>
    <numFmt numFmtId="165" formatCode="&quot;£&quot;#,##0;-&quot;£&quot;#,##0"/>
    <numFmt numFmtId="166" formatCode="mmm yyyy"/>
  </numFmts>
  <fonts count="7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  <font>
      <name val="Montserrat"/>
      <b val="1"/>
      <color rgb="00242322"/>
      <sz val="10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1">
    <border>
      <left/>
      <right/>
      <top/>
      <bottom/>
      <diagonal/>
    </border>
  </borders>
  <cellStyleXfs count="1">
    <xf numFmtId="0" fontId="1" fillId="0" borderId="0"/>
  </cellStyleXfs>
  <cellXfs count="13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0" fontId="6" fillId="0" borderId="0" applyAlignment="1" pivotButton="0" quotePrefix="0" xfId="0">
      <alignment vertical="top" wrapText="1"/>
    </xf>
    <xf numFmtId="165" fontId="6" fillId="0" borderId="0" applyAlignment="1" pivotButton="0" quotePrefix="0" xfId="0">
      <alignment vertical="top" wrapText="1"/>
    </xf>
    <xf numFmtId="165" fontId="1" fillId="0" borderId="0" applyAlignment="1" pivotButton="0" quotePrefix="0" xfId="0">
      <alignment vertical="top" wrapText="1"/>
    </xf>
    <xf numFmtId="9" fontId="1" fillId="0" borderId="0" applyAlignment="1" pivotButton="0" quotePrefix="0" xfId="0">
      <alignment vertical="top" wrapText="1"/>
    </xf>
    <xf numFmtId="3" fontId="6" fillId="0" borderId="0" applyAlignment="1" pivotButton="0" quotePrefix="0" xfId="0">
      <alignment vertical="top" wrapText="1"/>
    </xf>
    <xf numFmtId="3" fontId="1" fillId="0" borderId="0" applyAlignment="1" pivotButton="0" quotePrefix="0" xfId="0">
      <alignment vertical="top" wrapText="1"/>
    </xf>
    <xf numFmtId="166" fontId="1" fillId="0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</cellXfs>
  <cellStyles count="1">
    <cellStyle name="Normal" xfId="0" builtinId="0" hidden="0"/>
  </cellStyles>
  <dxfs count="1">
    <dxf>
      <font>
        <b val="1"/>
        <color rgb="008D4419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Revenue by month</a:t>
            </a:r>
          </a:p>
        </rich>
      </tx>
    </title>
    <plotArea>
      <lineChart>
        <grouping val="standard"/>
        <ser>
          <idx val="0"/>
          <order val="0"/>
          <tx>
            <strRef>
              <f>'Inputs'!B7</f>
            </strRef>
          </tx>
          <spPr>
            <a:ln xmlns:a="http://schemas.openxmlformats.org/drawingml/2006/main" w="28000">
              <a:solidFill>
                <a:srgbClr val="E8712A"/>
              </a:solidFill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'Inputs'!$A$8:$A$19</f>
            </numRef>
          </cat>
          <val>
            <numRef>
              <f>'Inputs'!$B$8:$B$19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£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New customers by month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'Inputs'!C7</f>
            </strRef>
          </tx>
          <spPr>
            <a:solidFill xmlns:a="http://schemas.openxmlformats.org/drawingml/2006/main">
              <a:srgbClr val="E8712A"/>
            </a:solidFill>
            <a:ln xmlns:a="http://schemas.openxmlformats.org/drawingml/2006/main">
              <a:solidFill>
                <a:srgbClr val="E8712A"/>
              </a:solidFill>
              <a:prstDash val="solid"/>
            </a:ln>
          </spPr>
          <cat>
            <numRef>
              <f>'Inputs'!$A$8:$A$19</f>
            </numRef>
          </cat>
          <val>
            <numRef>
              <f>'Inputs'!$C$8:$C$19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/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image" Target="/xl/media/image1.png" Id="rId3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/Relationships>
</file>

<file path=xl/drawings/drawing1.xml><?xml version="1.0" encoding="utf-8"?>
<wsDr xmlns="http://schemas.openxmlformats.org/drawingml/2006/spreadsheetDrawing">
  <oneCellAnchor>
    <from>
      <col>5</col>
      <colOff>0</colOff>
      <row>6</row>
      <rowOff>0</rowOff>
    </from>
    <ext cx="648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5</col>
      <colOff>0</colOff>
      <row>23</row>
      <rowOff>0</rowOff>
    </from>
    <ext cx="6480000" cy="288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0</col>
      <colOff>0</colOff>
      <row>0</row>
      <rowOff>0</rowOff>
    </from>
    <ext cx="9391650" cy="933450"/>
    <pic>
      <nvPicPr>
        <cNvPr id="3" name="Image 3" descr="Picture"/>
        <cNvPicPr/>
      </nvPicPr>
      <blipFill>
        <a:blip xmlns:a="http://schemas.openxmlformats.org/drawingml/2006/main" xmlns:r="http://schemas.openxmlformats.org/officeDocument/2006/relationships" cstate="print" r:embed="rId3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0</col>
      <colOff>0</colOff>
      <row>0</row>
      <rowOff>0</rowOff>
    </from>
    <ext cx="5895975" cy="58102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Inputs" displayName="Inputs" ref="A7:F19" headerRowCount="1">
  <autoFilter ref="A7:F19"/>
  <tableColumns count="6">
    <tableColumn id="1" name="Month"/>
    <tableColumn id="2" name="Revenue"/>
    <tableColumn id="3" name="New customers"/>
    <tableColumn id="4" name="Active customers"/>
    <tableColumn id="5" name="Website visits"/>
    <tableColumn id="6" name="Email subscribers"/>
  </tableColumns>
  <tableStyleInfo name="TableStyleLight1" showRowStripes="1" showColumnStripes="0"/>
</table>
</file>

<file path=xl/theme/theme1.xml><?xml version="1.0" encoding="utf-8"?>
<a:theme xmlns:a="http://schemas.openxmlformats.org/drawingml/2006/main" name="ClimbGroup">
  <a:themeElements>
    <a:clrScheme name="ClimbGroup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Group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D12"/>
  <sheetViews>
    <sheetView showGridLines="0" workbookViewId="0">
      <selection activeCell="A1" sqref="A1"/>
    </sheetView>
  </sheetViews>
  <sheetFormatPr baseColWidth="8" defaultRowHeight="15"/>
  <cols>
    <col width="22" customWidth="1" min="1" max="1"/>
    <col width="14" customWidth="1" min="2" max="2"/>
    <col width="14" customWidth="1" min="3" max="3"/>
    <col width="14" customWidth="1" min="4" max="4"/>
    <col width="3" customWidth="1" min="5" max="5"/>
    <col width="14" customWidth="1" min="6" max="6"/>
    <col width="14" customWidth="1" min="7" max="7"/>
    <col width="14" customWidth="1" min="8" max="8"/>
    <col width="14" customWidth="1" min="9" max="9"/>
    <col width="14" customWidth="1" min="10" max="10"/>
  </cols>
  <sheetData>
    <row r="1" ht="73.5" customHeight="1"/>
    <row r="3">
      <c r="A3" s="1" t="inlineStr">
        <is>
          <t>DASHBOARD</t>
        </is>
      </c>
    </row>
    <row r="4" ht="30" customHeight="1">
      <c r="A4" s="2" t="inlineStr">
        <is>
          <t>KPI DASHBOARD</t>
        </is>
      </c>
    </row>
    <row r="5">
      <c r="A5" s="3" t="inlineStr">
        <is>
          <t>The latest month against the one before, and the trend.</t>
        </is>
      </c>
    </row>
    <row r="7" ht="26" customHeight="1">
      <c r="A7" s="4" t="inlineStr">
        <is>
          <t>KPI</t>
        </is>
      </c>
      <c r="B7" s="4" t="inlineStr">
        <is>
          <t>Latest</t>
        </is>
      </c>
      <c r="C7" s="4" t="inlineStr">
        <is>
          <t>Previous</t>
        </is>
      </c>
      <c r="D7" s="4" t="inlineStr">
        <is>
          <t>Change</t>
        </is>
      </c>
    </row>
    <row r="8">
      <c r="A8" s="5" t="inlineStr">
        <is>
          <t>Revenue</t>
        </is>
      </c>
      <c r="B8" s="6">
        <f>IFERROR(INDEX(Inputs[Revenue],COUNT(Inputs[Month])),0)</f>
        <v/>
      </c>
      <c r="C8" s="7">
        <f>IFERROR(INDEX(Inputs[Revenue],COUNT(Inputs[Month])-1),0)</f>
        <v/>
      </c>
      <c r="D8" s="8">
        <f>IF(C8=0,"",B8/C8-1)</f>
        <v/>
      </c>
    </row>
    <row r="9">
      <c r="A9" s="5" t="inlineStr">
        <is>
          <t>New customers</t>
        </is>
      </c>
      <c r="B9" s="9">
        <f>IFERROR(INDEX(Inputs[New customers],COUNT(Inputs[Month])),0)</f>
        <v/>
      </c>
      <c r="C9" s="10">
        <f>IFERROR(INDEX(Inputs[New customers],COUNT(Inputs[Month])-1),0)</f>
        <v/>
      </c>
      <c r="D9" s="8">
        <f>IF(C9=0,"",B9/C9-1)</f>
        <v/>
      </c>
    </row>
    <row r="10">
      <c r="A10" s="5" t="inlineStr">
        <is>
          <t>Active customers</t>
        </is>
      </c>
      <c r="B10" s="9">
        <f>IFERROR(INDEX(Inputs[Active customers],COUNT(Inputs[Month])),0)</f>
        <v/>
      </c>
      <c r="C10" s="10">
        <f>IFERROR(INDEX(Inputs[Active customers],COUNT(Inputs[Month])-1),0)</f>
        <v/>
      </c>
      <c r="D10" s="8">
        <f>IF(C10=0,"",B10/C10-1)</f>
        <v/>
      </c>
    </row>
    <row r="11">
      <c r="A11" s="5" t="inlineStr">
        <is>
          <t>Website visits</t>
        </is>
      </c>
      <c r="B11" s="9">
        <f>IFERROR(INDEX(Inputs[Website visits],COUNT(Inputs[Month])),0)</f>
        <v/>
      </c>
      <c r="C11" s="10">
        <f>IFERROR(INDEX(Inputs[Website visits],COUNT(Inputs[Month])-1),0)</f>
        <v/>
      </c>
      <c r="D11" s="8">
        <f>IF(C11=0,"",B11/C11-1)</f>
        <v/>
      </c>
    </row>
    <row r="12">
      <c r="A12" s="5" t="inlineStr">
        <is>
          <t>Email subscribers</t>
        </is>
      </c>
      <c r="B12" s="9">
        <f>IFERROR(INDEX(Inputs[Email subscribers],COUNT(Inputs[Month])),0)</f>
        <v/>
      </c>
      <c r="C12" s="10">
        <f>IFERROR(INDEX(Inputs[Email subscribers],COUNT(Inputs[Month])-1),0)</f>
        <v/>
      </c>
      <c r="D12" s="8">
        <f>IF(C12=0,"",B12/C12-1)</f>
        <v/>
      </c>
    </row>
  </sheetData>
  <conditionalFormatting sqref="D8:D12">
    <cfRule type="cellIs" priority="1" operator="lessThan" dxfId="0">
      <formula>0</formula>
    </cfRule>
  </conditionalFormatting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F19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4" customWidth="1" min="1" max="1"/>
    <col width="14" customWidth="1" min="2" max="2"/>
    <col width="14" customWidth="1" min="3" max="3"/>
    <col width="14" customWidth="1" min="4" max="4"/>
    <col width="14" customWidth="1" min="5" max="5"/>
    <col width="16" customWidth="1" min="6" max="6"/>
  </cols>
  <sheetData>
    <row r="1" ht="45.75" customHeight="1"/>
    <row r="3">
      <c r="A3" s="1" t="inlineStr">
        <is>
          <t>KPIS</t>
        </is>
      </c>
    </row>
    <row r="4" ht="30" customHeight="1">
      <c r="A4" s="2" t="inlineStr">
        <is>
          <t>KPI INPUTS</t>
        </is>
      </c>
    </row>
    <row r="5">
      <c r="A5" s="3" t="inlineStr">
        <is>
          <t>One row per month. The dashboard reads from here; add rows at the bottom as months pass.</t>
        </is>
      </c>
    </row>
    <row r="7" ht="26" customHeight="1">
      <c r="A7" s="4" t="inlineStr">
        <is>
          <t>Month</t>
        </is>
      </c>
      <c r="B7" s="4" t="inlineStr">
        <is>
          <t>Revenue</t>
        </is>
      </c>
      <c r="C7" s="4" t="inlineStr">
        <is>
          <t>New customers</t>
        </is>
      </c>
      <c r="D7" s="4" t="inlineStr">
        <is>
          <t>Active customers</t>
        </is>
      </c>
      <c r="E7" s="4" t="inlineStr">
        <is>
          <t>Website visits</t>
        </is>
      </c>
      <c r="F7" s="4" t="inlineStr">
        <is>
          <t>Email subscribers</t>
        </is>
      </c>
    </row>
    <row r="8">
      <c r="A8" s="11" t="n">
        <v>46023</v>
      </c>
      <c r="B8" s="7" t="n">
        <v>0</v>
      </c>
      <c r="C8" s="12" t="n">
        <v>0</v>
      </c>
      <c r="D8" s="12" t="n">
        <v>0</v>
      </c>
      <c r="E8" s="12" t="n">
        <v>0</v>
      </c>
      <c r="F8" s="12" t="n">
        <v>0</v>
      </c>
    </row>
    <row r="9">
      <c r="A9" s="11" t="n">
        <v>46054</v>
      </c>
      <c r="B9" s="7" t="n">
        <v>0</v>
      </c>
      <c r="C9" s="12" t="n">
        <v>0</v>
      </c>
      <c r="D9" s="12" t="n">
        <v>0</v>
      </c>
      <c r="E9" s="12" t="n">
        <v>0</v>
      </c>
      <c r="F9" s="12" t="n">
        <v>0</v>
      </c>
    </row>
    <row r="10">
      <c r="A10" s="11" t="n">
        <v>46082</v>
      </c>
      <c r="B10" s="7" t="n">
        <v>0</v>
      </c>
      <c r="C10" s="12" t="n">
        <v>0</v>
      </c>
      <c r="D10" s="12" t="n">
        <v>0</v>
      </c>
      <c r="E10" s="12" t="n">
        <v>0</v>
      </c>
      <c r="F10" s="12" t="n">
        <v>0</v>
      </c>
    </row>
    <row r="11">
      <c r="A11" s="11" t="n">
        <v>46113</v>
      </c>
      <c r="B11" s="7" t="n">
        <v>0</v>
      </c>
      <c r="C11" s="12" t="n">
        <v>0</v>
      </c>
      <c r="D11" s="12" t="n">
        <v>0</v>
      </c>
      <c r="E11" s="12" t="n">
        <v>0</v>
      </c>
      <c r="F11" s="12" t="n">
        <v>0</v>
      </c>
    </row>
    <row r="12">
      <c r="A12" s="11" t="n">
        <v>46143</v>
      </c>
      <c r="B12" s="7" t="n">
        <v>0</v>
      </c>
      <c r="C12" s="12" t="n">
        <v>0</v>
      </c>
      <c r="D12" s="12" t="n">
        <v>0</v>
      </c>
      <c r="E12" s="12" t="n">
        <v>0</v>
      </c>
      <c r="F12" s="12" t="n">
        <v>0</v>
      </c>
    </row>
    <row r="13">
      <c r="A13" s="11" t="n">
        <v>46174</v>
      </c>
      <c r="B13" s="7" t="n">
        <v>0</v>
      </c>
      <c r="C13" s="12" t="n">
        <v>0</v>
      </c>
      <c r="D13" s="12" t="n">
        <v>0</v>
      </c>
      <c r="E13" s="12" t="n">
        <v>0</v>
      </c>
      <c r="F13" s="12" t="n">
        <v>0</v>
      </c>
    </row>
    <row r="14">
      <c r="A14" s="11" t="n">
        <v>46204</v>
      </c>
      <c r="B14" s="7" t="n">
        <v>0</v>
      </c>
      <c r="C14" s="12" t="n">
        <v>0</v>
      </c>
      <c r="D14" s="12" t="n">
        <v>0</v>
      </c>
      <c r="E14" s="12" t="n">
        <v>0</v>
      </c>
      <c r="F14" s="12" t="n">
        <v>0</v>
      </c>
    </row>
    <row r="15">
      <c r="A15" s="11" t="n">
        <v>46235</v>
      </c>
      <c r="B15" s="7" t="n">
        <v>0</v>
      </c>
      <c r="C15" s="12" t="n">
        <v>0</v>
      </c>
      <c r="D15" s="12" t="n">
        <v>0</v>
      </c>
      <c r="E15" s="12" t="n">
        <v>0</v>
      </c>
      <c r="F15" s="12" t="n">
        <v>0</v>
      </c>
    </row>
    <row r="16">
      <c r="A16" s="11" t="n">
        <v>46266</v>
      </c>
      <c r="B16" s="7" t="n">
        <v>0</v>
      </c>
      <c r="C16" s="12" t="n">
        <v>0</v>
      </c>
      <c r="D16" s="12" t="n">
        <v>0</v>
      </c>
      <c r="E16" s="12" t="n">
        <v>0</v>
      </c>
      <c r="F16" s="12" t="n">
        <v>0</v>
      </c>
    </row>
    <row r="17">
      <c r="A17" s="11" t="n">
        <v>46296</v>
      </c>
      <c r="B17" s="7" t="n">
        <v>0</v>
      </c>
      <c r="C17" s="12" t="n">
        <v>0</v>
      </c>
      <c r="D17" s="12" t="n">
        <v>0</v>
      </c>
      <c r="E17" s="12" t="n">
        <v>0</v>
      </c>
      <c r="F17" s="12" t="n">
        <v>0</v>
      </c>
    </row>
    <row r="18">
      <c r="A18" s="11" t="n">
        <v>46327</v>
      </c>
      <c r="B18" s="7" t="n">
        <v>0</v>
      </c>
      <c r="C18" s="12" t="n">
        <v>0</v>
      </c>
      <c r="D18" s="12" t="n">
        <v>0</v>
      </c>
      <c r="E18" s="12" t="n">
        <v>0</v>
      </c>
      <c r="F18" s="12" t="n">
        <v>0</v>
      </c>
    </row>
    <row r="19">
      <c r="A19" s="11" t="n">
        <v>46357</v>
      </c>
      <c r="B19" s="7" t="n">
        <v>0</v>
      </c>
      <c r="C19" s="12" t="n">
        <v>0</v>
      </c>
      <c r="D19" s="12" t="n">
        <v>0</v>
      </c>
      <c r="E19" s="12" t="n">
        <v>0</v>
      </c>
      <c r="F19" s="12" t="n">
        <v>0</v>
      </c>
    </row>
  </sheetData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ClimbGroup</dc:creator>
  <dc:title xmlns:dc="http://purl.org/dc/elements/1.1/">ClimbGroup kpi dashboard</dc:title>
  <dc:language xmlns:dc="http://purl.org/dc/elements/1.1/">en-GB</dc:language>
  <dcterms:created xmlns:dcterms="http://purl.org/dc/terms/" xmlns:xsi="http://www.w3.org/2001/XMLSchema-instance" xsi:type="dcterms:W3CDTF">2026-10-12T22:59:15Z</dcterms:created>
  <dcterms:modified xmlns:dcterms="http://purl.org/dc/terms/" xmlns:xsi="http://www.w3.org/2001/XMLSchema-instance" xsi:type="dcterms:W3CDTF">2026-10-12T22:59:15Z</dcterms:modified>
</cp:coreProperties>
</file>