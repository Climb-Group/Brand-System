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hifts" sheetId="1" state="visible" r:id="rId1"/>
    <sheet xmlns:r="http://schemas.openxmlformats.org/officeDocument/2006/relationships" name="By person" sheetId="2" state="visible" r:id="rId2"/>
  </sheets>
  <definedNames>
    <definedName name="_xlnm.Print_Titles" localSheetId="0">'Shifts'!$7:$7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hh:mm"/>
  </numFmts>
  <fonts count="6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FFFFFF"/>
      <sz val="9"/>
    </font>
  </fonts>
  <fills count="4">
    <fill>
      <patternFill/>
    </fill>
    <fill>
      <patternFill patternType="gray125"/>
    </fill>
    <fill>
      <patternFill patternType="solid">
        <fgColor rgb="001E0F05"/>
      </patternFill>
    </fill>
    <fill>
      <patternFill patternType="solid">
        <fgColor rgb="00E9E9E9"/>
      </patternFill>
    </fill>
  </fills>
  <borders count="1">
    <border>
      <left/>
      <right/>
      <top/>
      <bottom/>
      <diagonal/>
    </border>
  </borders>
  <cellStyleXfs count="1">
    <xf numFmtId="0" fontId="1" fillId="0" borderId="0"/>
  </cellStyleXfs>
  <cellXfs count="9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0" applyAlignment="1" pivotButton="0" quotePrefix="0" xfId="0">
      <alignment vertical="center" wrapText="1"/>
    </xf>
    <xf numFmtId="0" fontId="1" fillId="0" borderId="0" applyAlignment="1" pivotButton="0" quotePrefix="0" xfId="0">
      <alignment vertical="top" wrapText="1"/>
    </xf>
    <xf numFmtId="164" fontId="1" fillId="0" borderId="0" applyAlignment="1" pivotButton="0" quotePrefix="0" xfId="0">
      <alignment vertical="top" wrapText="1"/>
    </xf>
    <xf numFmtId="2" fontId="1" fillId="0" borderId="0" applyAlignment="1" pivotButton="0" quotePrefix="0" xfId="0">
      <alignment vertical="top" wrapText="1"/>
    </xf>
    <xf numFmtId="0" fontId="1" fillId="3" borderId="0" applyAlignment="1" pivotButton="0" quotePrefix="0" xfId="0">
      <alignment vertical="top" wrapText="1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8705850" cy="86677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0</col>
      <colOff>0</colOff>
      <row>0</row>
      <rowOff>0</rowOff>
    </from>
    <ext cx="7334250" cy="73342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Shifts" displayName="Shifts" ref="A7:J19" headerRowCount="1">
  <autoFilter ref="A7:J19"/>
  <tableColumns count="10">
    <tableColumn id="1" name="Day"/>
    <tableColumn id="2" name="Zone"/>
    <tableColumn id="3" name="Role"/>
    <tableColumn id="4" name="Name"/>
    <tableColumn id="5" name="Start"/>
    <tableColumn id="6" name="End"/>
    <tableColumn id="7" name="Break (min)"/>
    <tableColumn id="8" name="Hours"/>
    <tableColumn id="9" name="Team lead"/>
    <tableColumn id="10" name="Radio"/>
  </tableColumns>
  <tableStyleInfo name="TableStyleLight1" showRowStripes="1" showColumnStripes="0"/>
</table>
</file>

<file path=xl/theme/theme1.xml><?xml version="1.0" encoding="utf-8"?>
<a:theme xmlns:a="http://schemas.openxmlformats.org/drawingml/2006/main" name="ClimbGroup">
  <a:themeElements>
    <a:clrScheme name="ClimbGroup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Group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J19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18" customWidth="1" min="2" max="2"/>
    <col width="14" customWidth="1" min="3" max="3"/>
    <col width="20" customWidth="1" min="4" max="4"/>
    <col width="9" customWidth="1" min="5" max="5"/>
    <col width="9" customWidth="1" min="6" max="6"/>
    <col width="11" customWidth="1" min="7" max="7"/>
    <col width="9" customWidth="1" min="8" max="8"/>
    <col width="16" customWidth="1" min="9" max="9"/>
    <col width="9" customWidth="1" min="10" max="10"/>
  </cols>
  <sheetData>
    <row r="1" ht="68.25" customHeight="1"/>
    <row r="3">
      <c r="A3" s="1" t="inlineStr">
        <is>
          <t>ROTA</t>
        </is>
      </c>
    </row>
    <row r="4" ht="30" customHeight="1">
      <c r="A4" s="2" t="inlineStr">
        <is>
          <t>STAFF AND VOLUNTEER ROTA</t>
        </is>
      </c>
    </row>
    <row r="5">
      <c r="A5" s="3" t="inlineStr">
        <is>
          <t>One row per shift. Hours work themselves out from start, end and break.</t>
        </is>
      </c>
    </row>
    <row r="7" ht="26" customHeight="1">
      <c r="A7" s="4" t="inlineStr">
        <is>
          <t>Day</t>
        </is>
      </c>
      <c r="B7" s="4" t="inlineStr">
        <is>
          <t>Zone</t>
        </is>
      </c>
      <c r="C7" s="4" t="inlineStr">
        <is>
          <t>Role</t>
        </is>
      </c>
      <c r="D7" s="4" t="inlineStr">
        <is>
          <t>Name</t>
        </is>
      </c>
      <c r="E7" s="4" t="inlineStr">
        <is>
          <t>Start</t>
        </is>
      </c>
      <c r="F7" s="4" t="inlineStr">
        <is>
          <t>End</t>
        </is>
      </c>
      <c r="G7" s="4" t="inlineStr">
        <is>
          <t>Break (min)</t>
        </is>
      </c>
      <c r="H7" s="4" t="inlineStr">
        <is>
          <t>Hours</t>
        </is>
      </c>
      <c r="I7" s="4" t="inlineStr">
        <is>
          <t>Team lead</t>
        </is>
      </c>
      <c r="J7" s="4" t="inlineStr">
        <is>
          <t>Radio</t>
        </is>
      </c>
    </row>
    <row r="8">
      <c r="A8" s="5" t="inlineStr">
        <is>
          <t>Day one</t>
        </is>
      </c>
      <c r="B8" s="5" t="inlineStr">
        <is>
          <t>Registration</t>
        </is>
      </c>
      <c r="C8" s="5" t="inlineStr">
        <is>
          <t>Steward</t>
        </is>
      </c>
      <c r="D8" s="5" t="inlineStr">
        <is>
          <t>[Name]</t>
        </is>
      </c>
      <c r="E8" s="6" t="n"/>
      <c r="F8" s="6" t="n"/>
      <c r="G8" s="5" t="n">
        <v>30</v>
      </c>
      <c r="H8" s="7">
        <f>IF(AND(ISNUMBER(E8),ISNUMBER(F8)),ROUND((F8-E8)*24-G8/60,2),"")</f>
        <v/>
      </c>
      <c r="I8" s="5" t="inlineStr">
        <is>
          <t>[Lead]</t>
        </is>
      </c>
      <c r="J8" s="5" t="inlineStr">
        <is>
          <t>No</t>
        </is>
      </c>
    </row>
    <row r="9">
      <c r="A9" s="5" t="inlineStr">
        <is>
          <t>Day one</t>
        </is>
      </c>
      <c r="B9" s="5" t="inlineStr">
        <is>
          <t>Main stage</t>
        </is>
      </c>
      <c r="C9" s="5" t="inlineStr">
        <is>
          <t>Steward</t>
        </is>
      </c>
      <c r="D9" s="5" t="inlineStr">
        <is>
          <t>[Name]</t>
        </is>
      </c>
      <c r="E9" s="6" t="n"/>
      <c r="F9" s="6" t="n"/>
      <c r="G9" s="5" t="n">
        <v>30</v>
      </c>
      <c r="H9" s="7">
        <f>IF(AND(ISNUMBER(E9),ISNUMBER(F9)),ROUND((F9-E9)*24-G9/60,2),"")</f>
        <v/>
      </c>
      <c r="I9" s="5" t="inlineStr">
        <is>
          <t>[Lead]</t>
        </is>
      </c>
      <c r="J9" s="5" t="inlineStr">
        <is>
          <t>No</t>
        </is>
      </c>
    </row>
    <row r="10">
      <c r="A10" s="5" t="inlineStr">
        <is>
          <t>Day one</t>
        </is>
      </c>
      <c r="B10" s="5" t="inlineStr">
        <is>
          <t>Expo</t>
        </is>
      </c>
      <c r="C10" s="5" t="inlineStr">
        <is>
          <t>Steward</t>
        </is>
      </c>
      <c r="D10" s="5" t="inlineStr">
        <is>
          <t>[Name]</t>
        </is>
      </c>
      <c r="E10" s="6" t="n"/>
      <c r="F10" s="6" t="n"/>
      <c r="G10" s="5" t="n">
        <v>30</v>
      </c>
      <c r="H10" s="7">
        <f>IF(AND(ISNUMBER(E10),ISNUMBER(F10)),ROUND((F10-E10)*24-G10/60,2),"")</f>
        <v/>
      </c>
      <c r="I10" s="5" t="inlineStr">
        <is>
          <t>[Lead]</t>
        </is>
      </c>
      <c r="J10" s="5" t="inlineStr">
        <is>
          <t>No</t>
        </is>
      </c>
    </row>
    <row r="11">
      <c r="A11" s="5" t="inlineStr">
        <is>
          <t>Day one</t>
        </is>
      </c>
      <c r="B11" s="5" t="inlineStr">
        <is>
          <t>Roundtable rooms</t>
        </is>
      </c>
      <c r="C11" s="5" t="inlineStr">
        <is>
          <t>Steward</t>
        </is>
      </c>
      <c r="D11" s="5" t="inlineStr">
        <is>
          <t>[Name]</t>
        </is>
      </c>
      <c r="E11" s="6" t="n"/>
      <c r="F11" s="6" t="n"/>
      <c r="G11" s="5" t="n">
        <v>30</v>
      </c>
      <c r="H11" s="7">
        <f>IF(AND(ISNUMBER(E11),ISNUMBER(F11)),ROUND((F11-E11)*24-G11/60,2),"")</f>
        <v/>
      </c>
      <c r="I11" s="5" t="inlineStr">
        <is>
          <t>[Lead]</t>
        </is>
      </c>
      <c r="J11" s="5" t="inlineStr">
        <is>
          <t>No</t>
        </is>
      </c>
    </row>
    <row r="12">
      <c r="A12" s="5" t="inlineStr">
        <is>
          <t>Day one</t>
        </is>
      </c>
      <c r="B12" s="5" t="inlineStr">
        <is>
          <t>Green room</t>
        </is>
      </c>
      <c r="C12" s="5" t="inlineStr">
        <is>
          <t>Steward</t>
        </is>
      </c>
      <c r="D12" s="5" t="inlineStr">
        <is>
          <t>[Name]</t>
        </is>
      </c>
      <c r="E12" s="6" t="n"/>
      <c r="F12" s="6" t="n"/>
      <c r="G12" s="5" t="n">
        <v>30</v>
      </c>
      <c r="H12" s="7">
        <f>IF(AND(ISNUMBER(E12),ISNUMBER(F12)),ROUND((F12-E12)*24-G12/60,2),"")</f>
        <v/>
      </c>
      <c r="I12" s="5" t="inlineStr">
        <is>
          <t>[Lead]</t>
        </is>
      </c>
      <c r="J12" s="5" t="inlineStr">
        <is>
          <t>No</t>
        </is>
      </c>
    </row>
    <row r="13">
      <c r="A13" s="5" t="inlineStr">
        <is>
          <t>Day one</t>
        </is>
      </c>
      <c r="B13" s="5" t="inlineStr">
        <is>
          <t>Registration</t>
        </is>
      </c>
      <c r="C13" s="5" t="inlineStr">
        <is>
          <t>Steward</t>
        </is>
      </c>
      <c r="D13" s="5" t="inlineStr">
        <is>
          <t>[Name]</t>
        </is>
      </c>
      <c r="E13" s="6" t="n"/>
      <c r="F13" s="6" t="n"/>
      <c r="G13" s="5" t="n">
        <v>30</v>
      </c>
      <c r="H13" s="7">
        <f>IF(AND(ISNUMBER(E13),ISNUMBER(F13)),ROUND((F13-E13)*24-G13/60,2),"")</f>
        <v/>
      </c>
      <c r="I13" s="5" t="inlineStr">
        <is>
          <t>[Lead]</t>
        </is>
      </c>
      <c r="J13" s="5" t="inlineStr">
        <is>
          <t>No</t>
        </is>
      </c>
    </row>
    <row r="14">
      <c r="A14" s="5" t="inlineStr">
        <is>
          <t>Day two</t>
        </is>
      </c>
      <c r="B14" s="5" t="inlineStr">
        <is>
          <t>Main stage</t>
        </is>
      </c>
      <c r="C14" s="5" t="inlineStr">
        <is>
          <t>Steward</t>
        </is>
      </c>
      <c r="D14" s="5" t="inlineStr">
        <is>
          <t>[Name]</t>
        </is>
      </c>
      <c r="E14" s="6" t="n"/>
      <c r="F14" s="6" t="n"/>
      <c r="G14" s="5" t="n">
        <v>30</v>
      </c>
      <c r="H14" s="7">
        <f>IF(AND(ISNUMBER(E14),ISNUMBER(F14)),ROUND((F14-E14)*24-G14/60,2),"")</f>
        <v/>
      </c>
      <c r="I14" s="5" t="inlineStr">
        <is>
          <t>[Lead]</t>
        </is>
      </c>
      <c r="J14" s="5" t="inlineStr">
        <is>
          <t>No</t>
        </is>
      </c>
    </row>
    <row r="15">
      <c r="A15" s="5" t="inlineStr">
        <is>
          <t>Day two</t>
        </is>
      </c>
      <c r="B15" s="5" t="inlineStr">
        <is>
          <t>Expo</t>
        </is>
      </c>
      <c r="C15" s="5" t="inlineStr">
        <is>
          <t>Steward</t>
        </is>
      </c>
      <c r="D15" s="5" t="inlineStr">
        <is>
          <t>[Name]</t>
        </is>
      </c>
      <c r="E15" s="6" t="n"/>
      <c r="F15" s="6" t="n"/>
      <c r="G15" s="5" t="n">
        <v>30</v>
      </c>
      <c r="H15" s="7">
        <f>IF(AND(ISNUMBER(E15),ISNUMBER(F15)),ROUND((F15-E15)*24-G15/60,2),"")</f>
        <v/>
      </c>
      <c r="I15" s="5" t="inlineStr">
        <is>
          <t>[Lead]</t>
        </is>
      </c>
      <c r="J15" s="5" t="inlineStr">
        <is>
          <t>No</t>
        </is>
      </c>
    </row>
    <row r="16">
      <c r="A16" s="5" t="inlineStr">
        <is>
          <t>Day two</t>
        </is>
      </c>
      <c r="B16" s="5" t="inlineStr">
        <is>
          <t>Roundtable rooms</t>
        </is>
      </c>
      <c r="C16" s="5" t="inlineStr">
        <is>
          <t>Steward</t>
        </is>
      </c>
      <c r="D16" s="5" t="inlineStr">
        <is>
          <t>[Name]</t>
        </is>
      </c>
      <c r="E16" s="6" t="n"/>
      <c r="F16" s="6" t="n"/>
      <c r="G16" s="5" t="n">
        <v>30</v>
      </c>
      <c r="H16" s="7">
        <f>IF(AND(ISNUMBER(E16),ISNUMBER(F16)),ROUND((F16-E16)*24-G16/60,2),"")</f>
        <v/>
      </c>
      <c r="I16" s="5" t="inlineStr">
        <is>
          <t>[Lead]</t>
        </is>
      </c>
      <c r="J16" s="5" t="inlineStr">
        <is>
          <t>No</t>
        </is>
      </c>
    </row>
    <row r="17">
      <c r="A17" s="5" t="inlineStr">
        <is>
          <t>Day two</t>
        </is>
      </c>
      <c r="B17" s="5" t="inlineStr">
        <is>
          <t>Green room</t>
        </is>
      </c>
      <c r="C17" s="5" t="inlineStr">
        <is>
          <t>Steward</t>
        </is>
      </c>
      <c r="D17" s="5" t="inlineStr">
        <is>
          <t>[Name]</t>
        </is>
      </c>
      <c r="E17" s="6" t="n"/>
      <c r="F17" s="6" t="n"/>
      <c r="G17" s="5" t="n">
        <v>30</v>
      </c>
      <c r="H17" s="7">
        <f>IF(AND(ISNUMBER(E17),ISNUMBER(F17)),ROUND((F17-E17)*24-G17/60,2),"")</f>
        <v/>
      </c>
      <c r="I17" s="5" t="inlineStr">
        <is>
          <t>[Lead]</t>
        </is>
      </c>
      <c r="J17" s="5" t="inlineStr">
        <is>
          <t>No</t>
        </is>
      </c>
    </row>
    <row r="18">
      <c r="A18" s="5" t="inlineStr">
        <is>
          <t>Day two</t>
        </is>
      </c>
      <c r="B18" s="5" t="inlineStr">
        <is>
          <t>Registration</t>
        </is>
      </c>
      <c r="C18" s="5" t="inlineStr">
        <is>
          <t>Steward</t>
        </is>
      </c>
      <c r="D18" s="5" t="inlineStr">
        <is>
          <t>[Name]</t>
        </is>
      </c>
      <c r="E18" s="6" t="n"/>
      <c r="F18" s="6" t="n"/>
      <c r="G18" s="5" t="n">
        <v>30</v>
      </c>
      <c r="H18" s="7">
        <f>IF(AND(ISNUMBER(E18),ISNUMBER(F18)),ROUND((F18-E18)*24-G18/60,2),"")</f>
        <v/>
      </c>
      <c r="I18" s="5" t="inlineStr">
        <is>
          <t>[Lead]</t>
        </is>
      </c>
      <c r="J18" s="5" t="inlineStr">
        <is>
          <t>No</t>
        </is>
      </c>
    </row>
    <row r="19">
      <c r="A19" s="5" t="inlineStr">
        <is>
          <t>Day two</t>
        </is>
      </c>
      <c r="B19" s="5" t="inlineStr">
        <is>
          <t>Main stage</t>
        </is>
      </c>
      <c r="C19" s="5" t="inlineStr">
        <is>
          <t>Steward</t>
        </is>
      </c>
      <c r="D19" s="5" t="inlineStr">
        <is>
          <t>[Name]</t>
        </is>
      </c>
      <c r="E19" s="6" t="n"/>
      <c r="F19" s="6" t="n"/>
      <c r="G19" s="5" t="n">
        <v>30</v>
      </c>
      <c r="H19" s="7">
        <f>IF(AND(ISNUMBER(E19),ISNUMBER(F19)),ROUND((F19-E19)*24-G19/60,2),"")</f>
        <v/>
      </c>
      <c r="I19" s="5" t="inlineStr">
        <is>
          <t>[Lead]</t>
        </is>
      </c>
      <c r="J19" s="5" t="inlineStr">
        <is>
          <t>No</t>
        </is>
      </c>
    </row>
  </sheetData>
  <dataValidations count="4">
    <dataValidation sqref="A8:A219" showDropDown="0" showInputMessage="1" showErrorMessage="1" allowBlank="1" errorTitle="Not on the list" error="Pick a value from the list." promptTitle="Pick one" prompt="Which day" type="list">
      <formula1>"Build day,Day one,Day two,Load-out"</formula1>
    </dataValidation>
    <dataValidation sqref="B8:B219" showDropDown="0" showInputMessage="1" showErrorMessage="1" allowBlank="1" errorTitle="Not on the list" error="Pick a value from the list." promptTitle="Pick one" prompt="Which zone" type="list">
      <formula1>"Registration,Main stage,Expo,Roundtable rooms,Green room,Everywhere"</formula1>
    </dataValidation>
    <dataValidation sqref="C8:C219" showDropDown="0" showInputMessage="1" showErrorMessage="1" allowBlank="1" errorTitle="Not on the list" error="Pick a value from the list." promptTitle="Pick one" prompt="Their role" type="list">
      <formula1>"Steward,Registration,Stage crew,Runner,Team lead,Floater"</formula1>
    </dataValidation>
    <dataValidation sqref="J8:J219" showDropDown="0" showInputMessage="1" showErrorMessage="1" allowBlank="1" errorTitle="Not on the list" error="Pick a value from the list." promptTitle="Pick one" prompt="Radio issued" type="list">
      <formula1>"Yes,No"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Sans"climb-group.com&amp;R&amp;"Open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2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C27"/>
  <sheetViews>
    <sheetView showGridLines="0" workbookViewId="0">
      <selection activeCell="A1" sqref="A1"/>
    </sheetView>
  </sheetViews>
  <sheetFormatPr baseColWidth="8" defaultRowHeight="15"/>
  <cols>
    <col width="22" customWidth="1" min="1" max="1"/>
    <col width="10" customWidth="1" min="2" max="2"/>
    <col width="10" customWidth="1" min="3" max="3"/>
    <col width="13" customWidth="1" min="4" max="4"/>
    <col width="13" customWidth="1" min="5" max="5"/>
    <col width="13" customWidth="1" min="6" max="6"/>
    <col width="13" customWidth="1" min="7" max="7"/>
    <col width="13" customWidth="1" min="8" max="8"/>
  </cols>
  <sheetData>
    <row r="1" ht="57.75" customHeight="1"/>
    <row r="3">
      <c r="A3" s="1" t="inlineStr">
        <is>
          <t>SUMMARY</t>
        </is>
      </c>
    </row>
    <row r="4" ht="30" customHeight="1">
      <c r="A4" s="2" t="inlineStr">
        <is>
          <t>HOURS BY PERSON</t>
        </is>
      </c>
    </row>
    <row r="5">
      <c r="A5" s="3" t="inlineStr">
        <is>
          <t>Type each name once; shifts and hours come from the rota.</t>
        </is>
      </c>
    </row>
    <row r="7" ht="26" customHeight="1">
      <c r="A7" s="4" t="inlineStr">
        <is>
          <t>Name</t>
        </is>
      </c>
      <c r="B7" s="4" t="inlineStr">
        <is>
          <t>Shifts</t>
        </is>
      </c>
      <c r="C7" s="4" t="inlineStr">
        <is>
          <t>Hours</t>
        </is>
      </c>
    </row>
    <row r="8">
      <c r="A8" s="8" t="inlineStr">
        <is>
          <t>[Name]</t>
        </is>
      </c>
      <c r="B8" s="5">
        <f>IF(A8="","",COUNTIFS(Shifts[Name],A8))</f>
        <v/>
      </c>
      <c r="C8" s="7">
        <f>IF(A8="","",SUMIFS(Shifts[Hours],Shifts[Name],A8))</f>
        <v/>
      </c>
    </row>
    <row r="9">
      <c r="A9" s="8" t="inlineStr"/>
      <c r="B9" s="5">
        <f>IF(A9="","",COUNTIFS(Shifts[Name],A9))</f>
        <v/>
      </c>
      <c r="C9" s="7">
        <f>IF(A9="","",SUMIFS(Shifts[Hours],Shifts[Name],A9))</f>
        <v/>
      </c>
    </row>
    <row r="10">
      <c r="A10" s="8" t="inlineStr"/>
      <c r="B10" s="5">
        <f>IF(A10="","",COUNTIFS(Shifts[Name],A10))</f>
        <v/>
      </c>
      <c r="C10" s="7">
        <f>IF(A10="","",SUMIFS(Shifts[Hours],Shifts[Name],A10))</f>
        <v/>
      </c>
    </row>
    <row r="11">
      <c r="A11" s="8" t="inlineStr"/>
      <c r="B11" s="5">
        <f>IF(A11="","",COUNTIFS(Shifts[Name],A11))</f>
        <v/>
      </c>
      <c r="C11" s="7">
        <f>IF(A11="","",SUMIFS(Shifts[Hours],Shifts[Name],A11))</f>
        <v/>
      </c>
    </row>
    <row r="12">
      <c r="A12" s="8" t="inlineStr"/>
      <c r="B12" s="5">
        <f>IF(A12="","",COUNTIFS(Shifts[Name],A12))</f>
        <v/>
      </c>
      <c r="C12" s="7">
        <f>IF(A12="","",SUMIFS(Shifts[Hours],Shifts[Name],A12))</f>
        <v/>
      </c>
    </row>
    <row r="13">
      <c r="A13" s="8" t="inlineStr"/>
      <c r="B13" s="5">
        <f>IF(A13="","",COUNTIFS(Shifts[Name],A13))</f>
        <v/>
      </c>
      <c r="C13" s="7">
        <f>IF(A13="","",SUMIFS(Shifts[Hours],Shifts[Name],A13))</f>
        <v/>
      </c>
    </row>
    <row r="14">
      <c r="A14" s="8" t="inlineStr"/>
      <c r="B14" s="5">
        <f>IF(A14="","",COUNTIFS(Shifts[Name],A14))</f>
        <v/>
      </c>
      <c r="C14" s="7">
        <f>IF(A14="","",SUMIFS(Shifts[Hours],Shifts[Name],A14))</f>
        <v/>
      </c>
    </row>
    <row r="15">
      <c r="A15" s="8" t="inlineStr"/>
      <c r="B15" s="5">
        <f>IF(A15="","",COUNTIFS(Shifts[Name],A15))</f>
        <v/>
      </c>
      <c r="C15" s="7">
        <f>IF(A15="","",SUMIFS(Shifts[Hours],Shifts[Name],A15))</f>
        <v/>
      </c>
    </row>
    <row r="16">
      <c r="A16" s="8" t="inlineStr"/>
      <c r="B16" s="5">
        <f>IF(A16="","",COUNTIFS(Shifts[Name],A16))</f>
        <v/>
      </c>
      <c r="C16" s="7">
        <f>IF(A16="","",SUMIFS(Shifts[Hours],Shifts[Name],A16))</f>
        <v/>
      </c>
    </row>
    <row r="17">
      <c r="A17" s="8" t="inlineStr"/>
      <c r="B17" s="5">
        <f>IF(A17="","",COUNTIFS(Shifts[Name],A17))</f>
        <v/>
      </c>
      <c r="C17" s="7">
        <f>IF(A17="","",SUMIFS(Shifts[Hours],Shifts[Name],A17))</f>
        <v/>
      </c>
    </row>
    <row r="18">
      <c r="A18" s="8" t="inlineStr"/>
      <c r="B18" s="5">
        <f>IF(A18="","",COUNTIFS(Shifts[Name],A18))</f>
        <v/>
      </c>
      <c r="C18" s="7">
        <f>IF(A18="","",SUMIFS(Shifts[Hours],Shifts[Name],A18))</f>
        <v/>
      </c>
    </row>
    <row r="19">
      <c r="A19" s="8" t="inlineStr"/>
      <c r="B19" s="5">
        <f>IF(A19="","",COUNTIFS(Shifts[Name],A19))</f>
        <v/>
      </c>
      <c r="C19" s="7">
        <f>IF(A19="","",SUMIFS(Shifts[Hours],Shifts[Name],A19))</f>
        <v/>
      </c>
    </row>
    <row r="20">
      <c r="A20" s="8" t="inlineStr"/>
      <c r="B20" s="5">
        <f>IF(A20="","",COUNTIFS(Shifts[Name],A20))</f>
        <v/>
      </c>
      <c r="C20" s="7">
        <f>IF(A20="","",SUMIFS(Shifts[Hours],Shifts[Name],A20))</f>
        <v/>
      </c>
    </row>
    <row r="21">
      <c r="A21" s="8" t="inlineStr"/>
      <c r="B21" s="5">
        <f>IF(A21="","",COUNTIFS(Shifts[Name],A21))</f>
        <v/>
      </c>
      <c r="C21" s="7">
        <f>IF(A21="","",SUMIFS(Shifts[Hours],Shifts[Name],A21))</f>
        <v/>
      </c>
    </row>
    <row r="22">
      <c r="A22" s="8" t="inlineStr"/>
      <c r="B22" s="5">
        <f>IF(A22="","",COUNTIFS(Shifts[Name],A22))</f>
        <v/>
      </c>
      <c r="C22" s="7">
        <f>IF(A22="","",SUMIFS(Shifts[Hours],Shifts[Name],A22))</f>
        <v/>
      </c>
    </row>
    <row r="23">
      <c r="A23" s="8" t="inlineStr"/>
      <c r="B23" s="5">
        <f>IF(A23="","",COUNTIFS(Shifts[Name],A23))</f>
        <v/>
      </c>
      <c r="C23" s="7">
        <f>IF(A23="","",SUMIFS(Shifts[Hours],Shifts[Name],A23))</f>
        <v/>
      </c>
    </row>
    <row r="24">
      <c r="A24" s="8" t="inlineStr"/>
      <c r="B24" s="5">
        <f>IF(A24="","",COUNTIFS(Shifts[Name],A24))</f>
        <v/>
      </c>
      <c r="C24" s="7">
        <f>IF(A24="","",SUMIFS(Shifts[Hours],Shifts[Name],A24))</f>
        <v/>
      </c>
    </row>
    <row r="25">
      <c r="A25" s="8" t="inlineStr"/>
      <c r="B25" s="5">
        <f>IF(A25="","",COUNTIFS(Shifts[Name],A25))</f>
        <v/>
      </c>
      <c r="C25" s="7">
        <f>IF(A25="","",SUMIFS(Shifts[Hours],Shifts[Name],A25))</f>
        <v/>
      </c>
    </row>
    <row r="26">
      <c r="A26" s="8" t="inlineStr"/>
      <c r="B26" s="5">
        <f>IF(A26="","",COUNTIFS(Shifts[Name],A26))</f>
        <v/>
      </c>
      <c r="C26" s="7">
        <f>IF(A26="","",SUMIFS(Shifts[Hours],Shifts[Name],A26))</f>
        <v/>
      </c>
    </row>
    <row r="27">
      <c r="A27" s="8" t="inlineStr"/>
      <c r="B27" s="5">
        <f>IF(A27="","",COUNTIFS(Shifts[Name],A27))</f>
        <v/>
      </c>
      <c r="C27" s="7">
        <f>IF(A27="","",SUMIFS(Shifts[Hours],Shifts[Name],A27))</f>
        <v/>
      </c>
    </row>
  </sheetData>
  <pageMargins left="0.75" right="0.75" top="1" bottom="1" header="0.5" footer="0.5"/>
  <pageSetup orientation="landscape" paperSize="9" fitToHeight="0" fitToWidth="1"/>
  <headerFooter>
    <oddHeader/>
    <oddFooter>&amp;L&amp;"Open Sans"climb-group.com&amp;R&amp;"Open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ClimbGroup</dc:creator>
  <dc:title xmlns:dc="http://purl.org/dc/elements/1.1/">ClimbGroup staff and volunteer rota</dc:title>
  <dc:language xmlns:dc="http://purl.org/dc/elements/1.1/">en-GB</dc:language>
  <dcterms:created xmlns:dcterms="http://purl.org/dc/terms/" xmlns:xsi="http://www.w3.org/2001/XMLSchema-instance" xsi:type="dcterms:W3CDTF">2026-10-12T22:59:16Z</dcterms:created>
  <dcterms:modified xmlns:dcterms="http://purl.org/dc/terms/" xmlns:xsi="http://www.w3.org/2001/XMLSchema-instance" xsi:type="dcterms:W3CDTF">2026-10-12T22:59:16Z</dcterms:modified>
</cp:coreProperties>
</file>